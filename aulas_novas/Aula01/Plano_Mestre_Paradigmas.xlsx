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oteiro_3h" sheetId="2" state="visible" r:id="rId4"/>
    <sheet name="Slides_40" sheetId="3" state="visible" r:id="rId5"/>
    <sheet name="Codigos_Colab" sheetId="4" state="visible" r:id="rId6"/>
    <sheet name="Trabalhos" sheetId="5" state="visible" r:id="rId7"/>
    <sheet name="Notas" sheetId="6" state="visible" r:id="rId8"/>
    <sheet name="Checklist_Producao" sheetId="7" state="visible" r:id="rId9"/>
    <sheet name="Bibliografi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<sst xmlns="http://schemas.openxmlformats.org/spreadsheetml/2006/main" count="3383" uniqueCount="1135">
  <si>
    <t xml:space="preserve">CRONOGRAMA — Paradigmas de Programação</t>
  </si>
  <si>
    <t xml:space="preserve">60h · 20 encontros de 3 horas · Universidade La Salle. Preencha apenas B6 (amarelo) com a data da 1ª aula; as demais são calculadas com +7 dias.</t>
  </si>
  <si>
    <t xml:space="preserve">Aula</t>
  </si>
  <si>
    <t xml:space="preserve">Data</t>
  </si>
  <si>
    <t xml:space="preserve">Bloco</t>
  </si>
  <si>
    <t xml:space="preserve">Tipo</t>
  </si>
  <si>
    <t xml:space="preserve">Tema</t>
  </si>
  <si>
    <t xml:space="preserve">Conteúdo programático</t>
  </si>
  <si>
    <t xml:space="preserve">Slides</t>
  </si>
  <si>
    <t xml:space="preserve">Códigos Colab</t>
  </si>
  <si>
    <t xml:space="preserve">Avaliação</t>
  </si>
  <si>
    <t xml:space="preserve">G1</t>
  </si>
  <si>
    <t xml:space="preserve">Conteúdo</t>
  </si>
  <si>
    <t xml:space="preserve">Paradigmas, taxonomia de Van Roy, sintaxe/semântica/pragmática</t>
  </si>
  <si>
    <t xml:space="preserve">Apresentação da disciplina. O que é um paradigma de programação? Taxonomia de Van Roy. Sintaxe, semântica e pragmática. Laboratório: configuração do ambiente (Racket, Python, Haskell/Elixir, SWI-Prolog). Lançamento do Trabalho 1</t>
  </si>
  <si>
    <t xml:space="preserve">—</t>
  </si>
  <si>
    <t xml:space="preserve">Gramáticas, BNF/EBNF, AST e as três semânticas</t>
  </si>
  <si>
    <t xml:space="preserve">Descrição de linguagens: gramáticas livres de contexto, BNF/EBNF e árvores sintáticas (AST). Noções de semântica operacional, denotacional e axiomática. Laboratório: escrita de uma gramática EBNF e de um avaliador recursivo</t>
  </si>
  <si>
    <t xml:space="preserve">Cálculo lambda, escopo léxico, closures e ambientes</t>
  </si>
  <si>
    <t xml:space="preserve">O núcleo funcional: cálculo lambda, ligação de nomes, escopo léxico × dinâmico, closures e ambientes. Laboratório: closures e funções de primeira classe em três linguagens. Entrega do Trabalho 1 (1,0) e lançamento do Trabalho 2</t>
  </si>
  <si>
    <t xml:space="preserve">Entrega T1 (1,0)</t>
  </si>
  <si>
    <t xml:space="preserve">Funcional I: imutabilidade, ordem superior, recursão de cauda, map/filter/fold</t>
  </si>
  <si>
    <t xml:space="preserve">Paradigma funcional I: transparência referencial, imutabilidade, funções de ordem superior, recursão de cauda, map/filter/fold. Laboratório: refatoração de um algoritmo imperativo para estilo funcional puro</t>
  </si>
  <si>
    <t xml:space="preserve">Funcional II: ADTs, pattern matching, currying e avaliação preguiçosa</t>
  </si>
  <si>
    <t xml:space="preserve">Paradigma funcional II: tipos algébricos (ADTs), pattern matching, currying e avaliação preguiçosa. Laboratório: modelagem de um domínio com ADTs em Haskell ou Elixir. Entrega do Trabalho 2 (1,0) e lançamento do Trabalho 3</t>
  </si>
  <si>
    <t xml:space="preserve">Entrega T2 (1,0)</t>
  </si>
  <si>
    <t xml:space="preserve">Interpretadores: avaliador metacircular, ambientes e aplicação de funções</t>
  </si>
  <si>
    <t xml:space="preserve">Interpretadores como método de estudo: avaliador metacircular, ambientes, aplicação de funções e escopo estático. Laboratório: projeto incremental — etapa 1, interpretador de expressões e funções</t>
  </si>
  <si>
    <t xml:space="preserve">Paradigma imperativo: estado, atribuição, aliasing e memória</t>
  </si>
  <si>
    <t xml:space="preserve">Paradigma imperativo: estado nomeado, atribuição, efeitos colaterais, aliasing, estruturas de controle e gerência de memória. Laboratório: projeto incremental — etapa 2, estado mutável e laços. Entrega do Trabalho 3 (1,0)</t>
  </si>
  <si>
    <t xml:space="preserve">Entrega T3 (1,0)</t>
  </si>
  <si>
    <t xml:space="preserve">Sistemas de tipos, abstração de dados e modularidade</t>
  </si>
  <si>
    <t xml:space="preserve">Sistemas de tipos: estática × dinâmica, verificação × inferência, polimorfismo. Abstração de dados e modularidade: TAD × objetos, information hiding e contratos. Laboratório: estudo comparativo entre Python, TypeScript, Java e Haskell</t>
  </si>
  <si>
    <t xml:space="preserve">Seminário</t>
  </si>
  <si>
    <t xml:space="preserve">Seminários do Trabalho de Apresentação 1 e revisão para a Prova G1</t>
  </si>
  <si>
    <t xml:space="preserve">Seminários: apresentação e defesa do Trabalho de Apresentação 1 (3,0) — mesmo problema resolvido em paradigmas distintos. Revisão integrada e orientações para a Prova G1</t>
  </si>
  <si>
    <t xml:space="preserve">Apresentação TA1 (3,0)</t>
  </si>
  <si>
    <t xml:space="preserve">Prova G1</t>
  </si>
  <si>
    <t xml:space="preserve">Prova G1 (4,0). Encontro exclusivo de avaliação, sem conteúdo novo e sem laboratório</t>
  </si>
  <si>
    <t xml:space="preserve">Prova G1 (4,0)</t>
  </si>
  <si>
    <t xml:space="preserve">G2</t>
  </si>
  <si>
    <t xml:space="preserve">Orientação a objetos sob a ótica de paradigmas</t>
  </si>
  <si>
    <t xml:space="preserve">Orientação a objetos sob a ótica de paradigmas: mensagem (Kay), objetos × TAD, despacho dinâmico, subtipagem e LSP, herança × composição, mixins e protótipos. Laboratório: despacho dinâmico implementado com closures. Lançamento do Trabalho 4</t>
  </si>
  <si>
    <t xml:space="preserve">Paradigma lógico I: unificação, resolução SLD e execução do Prolog</t>
  </si>
  <si>
    <t xml:space="preserve">Paradigma lógico I: programação declarativa, fatos, regras e consultas, unificação, resolução SLD e modelo de execução do Prolog. Laboratório: base de conhecimento em SWI-Prolog. Entrega do Trabalho 4 (1,0)</t>
  </si>
  <si>
    <t xml:space="preserve">Entrega T4 (1,0)</t>
  </si>
  <si>
    <t xml:space="preserve">Paradigma lógico II: backtracking, corte, CLP(FD) e ASP</t>
  </si>
  <si>
    <t xml:space="preserve">Paradigma lógico II: backtracking, corte (cut), negação por falha, listas e recursão, programação em lógica com restrições (CLP) e Answer Set Programming. Laboratório: puzzles combinatórios com CLP(FD). Lançamento do Trabalho 5</t>
  </si>
  <si>
    <t xml:space="preserve">Concorrência I: threads, memória compartilhada, race conditions e STM</t>
  </si>
  <si>
    <t xml:space="preserve">Concorrência I: concorrência × paralelismo, threads, memória compartilhada, condições de corrida, deadlock e memória transacional (STM). Laboratório: reprodução e correção de race conditions. Entrega do Trabalho 5 (1,0)</t>
  </si>
  <si>
    <t xml:space="preserve">Entrega T5 (1,0)</t>
  </si>
  <si>
    <t xml:space="preserve">Concorrência II: Actors, CSP, isolamento e supervisão</t>
  </si>
  <si>
    <t xml:space="preserve">Concorrência II: modelos por troca de mensagens — Actors e CSP, isolamento de estado, supervisão e filosofia let it crash. Laboratório: sistema concorrente em Elixir e em Go. Lançamento do Trabalho 6</t>
  </si>
  <si>
    <t xml:space="preserve">Metaprogramação, DSLs e paradigmas emergentes</t>
  </si>
  <si>
    <t xml:space="preserve">Metaprogramação e reflexão: homoiconicidade, macros e DSLs. Paradigmas emergentes: reativo, orientado a arrays, probabilístico e diferenciável; programação assistida por LLM. Laboratório: macros em Racket e experimentos com NumPy/JAX. Entrega do Trabalho 6 (1,0)</t>
  </si>
  <si>
    <t xml:space="preserve">Entrega T6 (1,0)</t>
  </si>
  <si>
    <t xml:space="preserve">Seminários do Trabalho de Apresentação 2 e síntese multiparadigma</t>
  </si>
  <si>
    <t xml:space="preserve">Seminários: apresentação e defesa do Trabalho de Apresentação 2 (3,0) — projeto final do interpretador ou estudo aprofundado de uma linguagem. Síntese multiparadigma e orientações para a Prova G2</t>
  </si>
  <si>
    <t xml:space="preserve">Apresentação TA2 (3,0)</t>
  </si>
  <si>
    <t xml:space="preserve">Prova G2</t>
  </si>
  <si>
    <t xml:space="preserve">Prova G2 (4,0). Encontro exclusivo de avaliação, sem conteúdo novo e sem laboratório</t>
  </si>
  <si>
    <t xml:space="preserve">Prova G2 (4,0)</t>
  </si>
  <si>
    <t xml:space="preserve">Subst.</t>
  </si>
  <si>
    <t xml:space="preserve">Plantão</t>
  </si>
  <si>
    <t xml:space="preserve">Plantão de dúvidas e revisão geral</t>
  </si>
  <si>
    <t xml:space="preserve">Plantão de dúvidas: revisão geral dos encontros 1 a 17, com foco nos tópicos das Provas G1 e G2, preparatória para a Prova de Substituição. Participação facultativa</t>
  </si>
  <si>
    <t xml:space="preserve">Prova de Substituição</t>
  </si>
  <si>
    <t xml:space="preserve">Prova de Substituição. Encontro exclusivo de avaliação, abrangendo o conteúdo integral dos encontros 1 a 17</t>
  </si>
  <si>
    <t xml:space="preserve">Prova de Substituição (4,0)</t>
  </si>
  <si>
    <t xml:space="preserve">TOTAIS</t>
  </si>
  <si>
    <t xml:space="preserve">Total de slides / notebooks produzidos</t>
  </si>
  <si>
    <t xml:space="preserve">Encontros 10, 18 e 20 são exclusivos de avaliação: sem conteúdo novo e sem laboratório.</t>
  </si>
  <si>
    <t xml:space="preserve">G1 (encontros 1 a 10) = T1 + T2 + T3 (1,0 cada) + TA1 (3,0) + Prova G1 (4,0) = 10,0</t>
  </si>
  <si>
    <t xml:space="preserve">G2 (encontros 11 a 18) = T4 + T5 + T6 (1,0 cada) + TA2 (3,0) + Prova G2 (4,0) = 10,0</t>
  </si>
  <si>
    <t xml:space="preserve">Nota Final = (G1 + G2) / 2. A Prova de Substituição troca a menor entre G1 e G2 apenas se for maior.</t>
  </si>
  <si>
    <t xml:space="preserve">Ajuste manualmente qualquer data deslocada por feriado: basta digitar a data na célula da aula afetada.</t>
  </si>
  <si>
    <t xml:space="preserve">Fonte das colunas Tema e Conteúdo: Plano de Ensino e Cronograma originais da disciplina (arquivos do projeto).</t>
  </si>
  <si>
    <t xml:space="preserve">ROTEIRO DE 180 MINUTOS POR ENCONTRO</t>
  </si>
  <si>
    <t xml:space="preserve">Distribuição padrão do tempo de aula. Metade do encontro é exposição dialogada e metade é laboratório em máquina, conforme as estratégias metodológicas do plano de ensino.</t>
  </si>
  <si>
    <t xml:space="preserve">Início</t>
  </si>
  <si>
    <t xml:space="preserve">Fim</t>
  </si>
  <si>
    <t xml:space="preserve">Min</t>
  </si>
  <si>
    <t xml:space="preserve">Etapa</t>
  </si>
  <si>
    <t xml:space="preserve">O que acontece</t>
  </si>
  <si>
    <t xml:space="preserve">00:00</t>
  </si>
  <si>
    <t xml:space="preserve">00:10</t>
  </si>
  <si>
    <t xml:space="preserve">Abertura</t>
  </si>
  <si>
    <t xml:space="preserve">Chamada, agenda e objetivos da aula</t>
  </si>
  <si>
    <t xml:space="preserve">1-3</t>
  </si>
  <si>
    <t xml:space="preserve">00:25</t>
  </si>
  <si>
    <t xml:space="preserve">Recapitulação e quiz</t>
  </si>
  <si>
    <t xml:space="preserve">Revisão da aula anterior e quiz da leitura prévia</t>
  </si>
  <si>
    <t xml:space="preserve">4-6</t>
  </si>
  <si>
    <t xml:space="preserve">01:00</t>
  </si>
  <si>
    <t xml:space="preserve">Exposição dialogada I</t>
  </si>
  <si>
    <t xml:space="preserve">Núcleo conceitual I com perguntas dirigidas</t>
  </si>
  <si>
    <t xml:space="preserve">7-14</t>
  </si>
  <si>
    <t xml:space="preserve">01:10</t>
  </si>
  <si>
    <t xml:space="preserve">Intervalo</t>
  </si>
  <si>
    <t xml:space="preserve">Intervalo de 10 minutos</t>
  </si>
  <si>
    <t xml:space="preserve">-</t>
  </si>
  <si>
    <t xml:space="preserve">01:40</t>
  </si>
  <si>
    <t xml:space="preserve">Exposição dialogada II</t>
  </si>
  <si>
    <t xml:space="preserve">Núcleo conceitual II com discussão em duplas</t>
  </si>
  <si>
    <t xml:space="preserve">15-22</t>
  </si>
  <si>
    <t xml:space="preserve">02:05</t>
  </si>
  <si>
    <t xml:space="preserve">Demonstração no Colab</t>
  </si>
  <si>
    <t xml:space="preserve">Execução comentada dos três notebooks e leitura dos gráficos</t>
  </si>
  <si>
    <t xml:space="preserve">23-30</t>
  </si>
  <si>
    <t xml:space="preserve">02:45</t>
  </si>
  <si>
    <t xml:space="preserve">Laboratório em máquina</t>
  </si>
  <si>
    <t xml:space="preserve">Laboratório: Paradigmas, taxonomia de Van Roy, sintaxe/semântica/pragmática</t>
  </si>
  <si>
    <t xml:space="preserve">31-34</t>
  </si>
  <si>
    <t xml:space="preserve">03:00</t>
  </si>
  <si>
    <t xml:space="preserve">Síntese e tarefa</t>
  </si>
  <si>
    <t xml:space="preserve">Fechamento, tabela comparativa, tarefa e leitura prévia</t>
  </si>
  <si>
    <t xml:space="preserve">35-40</t>
  </si>
  <si>
    <t xml:space="preserve">Laboratório: Gramáticas, BNF/EBNF, AST e as três semânticas</t>
  </si>
  <si>
    <t xml:space="preserve">Laboratório: Cálculo lambda, escopo léxico, closures e ambientes</t>
  </si>
  <si>
    <t xml:space="preserve">Laboratório: Funcional I: imutabilidade, ordem superior, recursão de cauda, map/filter/fold</t>
  </si>
  <si>
    <t xml:space="preserve">Laboratório: Funcional II: ADTs, pattern matching, currying e avaliação preguiçosa</t>
  </si>
  <si>
    <t xml:space="preserve">Laboratório: Interpretadores: avaliador metacircular, ambientes e aplicação de funções</t>
  </si>
  <si>
    <t xml:space="preserve">Laboratório: Paradigma imperativo: estado, atribuição, aliasing e memória</t>
  </si>
  <si>
    <t xml:space="preserve">Laboratório: Sistemas de tipos, abstração de dados e modularidade</t>
  </si>
  <si>
    <t xml:space="preserve">Regras da sessão, rubrica e sorteio da ordem</t>
  </si>
  <si>
    <t xml:space="preserve">00:55</t>
  </si>
  <si>
    <t xml:space="preserve">Bloco 1 de apresentações</t>
  </si>
  <si>
    <t xml:space="preserve">Três grupos, 12 minutos de apresentação e 3 de arguição</t>
  </si>
  <si>
    <t xml:space="preserve">01:05</t>
  </si>
  <si>
    <t xml:space="preserve">01:50</t>
  </si>
  <si>
    <t xml:space="preserve">Bloco 2 de apresentações</t>
  </si>
  <si>
    <t xml:space="preserve">Três grupos, mesmo formato</t>
  </si>
  <si>
    <t xml:space="preserve">7-9</t>
  </si>
  <si>
    <t xml:space="preserve">02:20</t>
  </si>
  <si>
    <t xml:space="preserve">Bloco 3 de apresentações</t>
  </si>
  <si>
    <t xml:space="preserve">Grupos restantes e devolutivas</t>
  </si>
  <si>
    <t xml:space="preserve">10-11</t>
  </si>
  <si>
    <t xml:space="preserve">Painel comparativo</t>
  </si>
  <si>
    <t xml:space="preserve">Discussão das soluções e síntese do bloco</t>
  </si>
  <si>
    <t xml:space="preserve">12-14</t>
  </si>
  <si>
    <t xml:space="preserve">Revisão e orientações</t>
  </si>
  <si>
    <t xml:space="preserve">Questões-modelo e formato da prova</t>
  </si>
  <si>
    <t xml:space="preserve">15-20</t>
  </si>
  <si>
    <t xml:space="preserve">Instruções</t>
  </si>
  <si>
    <t xml:space="preserve">Distribuição das provas e leitura das instruções</t>
  </si>
  <si>
    <t xml:space="preserve">02:40</t>
  </si>
  <si>
    <t xml:space="preserve">Aplicação da prova</t>
  </si>
  <si>
    <t xml:space="preserve">Prova individual, sem consulta, 4,0 pontos</t>
  </si>
  <si>
    <t xml:space="preserve">Encerramento</t>
  </si>
  <si>
    <t xml:space="preserve">Recolhimento e orientações sobre a divulgação das notas</t>
  </si>
  <si>
    <t xml:space="preserve">Laboratório: Orientação a objetos sob a ótica de paradigmas</t>
  </si>
  <si>
    <t xml:space="preserve">Laboratório: Paradigma lógico I: unificação, resolução SLD e execução do Prolog</t>
  </si>
  <si>
    <t xml:space="preserve">Laboratório: Paradigma lógico II: backtracking, corte, CLP(FD) e ASP</t>
  </si>
  <si>
    <t xml:space="preserve">Laboratório: Concorrência I: threads, memória compartilhada, race conditions e STM</t>
  </si>
  <si>
    <t xml:space="preserve">Laboratório: Concorrência II: Actors, CSP, isolamento e supervisão</t>
  </si>
  <si>
    <t xml:space="preserve">Laboratório: Metaprogramação, DSLs e paradigmas emergentes</t>
  </si>
  <si>
    <t xml:space="preserve">Coleta dos tópicos de dúvida e montagem da fila</t>
  </si>
  <si>
    <t xml:space="preserve">1-2</t>
  </si>
  <si>
    <t xml:space="preserve">Revisão relâmpago do bloco G1</t>
  </si>
  <si>
    <t xml:space="preserve">Aulas 1 a 8 em revisão dirigida</t>
  </si>
  <si>
    <t xml:space="preserve">3-9</t>
  </si>
  <si>
    <t xml:space="preserve">02:00</t>
  </si>
  <si>
    <t xml:space="preserve">Revisão relâmpago do bloco G2</t>
  </si>
  <si>
    <t xml:space="preserve">Aulas 11 a 16 em revisão dirigida</t>
  </si>
  <si>
    <t xml:space="preserve">10-13</t>
  </si>
  <si>
    <t xml:space="preserve">02:30</t>
  </si>
  <si>
    <t xml:space="preserve">Resolução comentada</t>
  </si>
  <si>
    <t xml:space="preserve">Questões das Provas G1 e G2</t>
  </si>
  <si>
    <t xml:space="preserve">14-16</t>
  </si>
  <si>
    <t xml:space="preserve">02:50</t>
  </si>
  <si>
    <t xml:space="preserve">Simulado e correção</t>
  </si>
  <si>
    <t xml:space="preserve">Dez questões objetivas com correção comentada</t>
  </si>
  <si>
    <t xml:space="preserve">17-18</t>
  </si>
  <si>
    <t xml:space="preserve">Orientações para a Prova de Substituição</t>
  </si>
  <si>
    <t xml:space="preserve">19-20</t>
  </si>
  <si>
    <t xml:space="preserve">MAPA DE SLIDES — 40 por encontro de conteúdo</t>
  </si>
  <si>
    <t xml:space="preserve">Estrutura de cada deck. Encontros de seminário e plantão usam deck reduzido de 20 slides; encontros de prova não têm deck.</t>
  </si>
  <si>
    <t xml:space="preserve">Tema do encontro</t>
  </si>
  <si>
    <t xml:space="preserve">Nº</t>
  </si>
  <si>
    <t xml:space="preserve">Título do slide</t>
  </si>
  <si>
    <t xml:space="preserve">Recurso visual sugerido</t>
  </si>
  <si>
    <t xml:space="preserve">Minuto aprox.</t>
  </si>
  <si>
    <t xml:space="preserve">Paradigmas de Programação — abertura da disciplina</t>
  </si>
  <si>
    <t xml:space="preserve">Capa / agenda visual</t>
  </si>
  <si>
    <t xml:space="preserve">Agenda dos 180 minutos de hoje</t>
  </si>
  <si>
    <t xml:space="preserve">Objetivos de aprendizagem da Aula 1</t>
  </si>
  <si>
    <t xml:space="preserve">Contexto e recapitulação</t>
  </si>
  <si>
    <t xml:space="preserve">Como a disciplina funciona: leitura prévia, laboratório e projeto incremental</t>
  </si>
  <si>
    <t xml:space="preserve">Mapa conceitual + quiz</t>
  </si>
  <si>
    <t xml:space="preserve">O interpretador como espinha dorsal do semestre</t>
  </si>
  <si>
    <t xml:space="preserve">Sondagem: quantos paradigmas você já usou sem saber?</t>
  </si>
  <si>
    <t xml:space="preserve">Núcleo conceitual I</t>
  </si>
  <si>
    <t xml:space="preserve">O que é um paradigma: de Kuhn à computação</t>
  </si>
  <si>
    <t xml:space="preserve">Diagrama + trecho de código comentado</t>
  </si>
  <si>
    <t xml:space="preserve">Definição operacional: conjunto de conceitos que estruturam programas</t>
  </si>
  <si>
    <t xml:space="preserve">Paradigma nao é linguagem, nao é estilo, nao é arquitetura</t>
  </si>
  <si>
    <t xml:space="preserve">Por que toda linguagem moderna é multiparadigma</t>
  </si>
  <si>
    <t xml:space="preserve">O mesmo problema em quatro paradigmas: visão panorâmica</t>
  </si>
  <si>
    <t xml:space="preserve">Critérios de comparação: expressividade, estado, avaliação e concorrência</t>
  </si>
  <si>
    <t xml:space="preserve">O custo cognitivo de trocar de paradigma</t>
  </si>
  <si>
    <t xml:space="preserve">Discussão em duplas: que paradigma sua linguagem favorita impõe?</t>
  </si>
  <si>
    <t xml:space="preserve">Núcleo conceitual II</t>
  </si>
  <si>
    <t xml:space="preserve">A taxonomia de Van Roy: o mapa dos 30 paradigmas</t>
  </si>
  <si>
    <t xml:space="preserve">Diagrama comparativo + tabela</t>
  </si>
  <si>
    <t xml:space="preserve">Eixos da taxonomia: estado observável, nomeação e concorrência</t>
  </si>
  <si>
    <t xml:space="preserve">Do núcleo declarativo às extensões por acréscimo de conceitos</t>
  </si>
  <si>
    <t xml:space="preserve">Ramo funcional e ramo lógico no mesmo diagrama</t>
  </si>
  <si>
    <t xml:space="preserve">Estado explícito: o que acrescenta e o que custa</t>
  </si>
  <si>
    <t xml:space="preserve">Concorrência declarativa, por mensagens e por estado compartilhado</t>
  </si>
  <si>
    <t xml:space="preserve">Onde ficam Python, Java, Haskell, Prolog, Elixir e Go no mapa</t>
  </si>
  <si>
    <t xml:space="preserve">A taxonomia como roteiro dos 20 encontros</t>
  </si>
  <si>
    <t xml:space="preserve">Demonstração e código ao vivo</t>
  </si>
  <si>
    <t xml:space="preserve">Sintaxe: a forma dos programas</t>
  </si>
  <si>
    <t xml:space="preserve">Notebook Colab + gráfico gerado</t>
  </si>
  <si>
    <t xml:space="preserve">Semântica: o significado dos programas</t>
  </si>
  <si>
    <t xml:space="preserve">Pragmática: idiomas, comunidade e ferramentas</t>
  </si>
  <si>
    <t xml:space="preserve">Três erros clássicos e a camada em que cada um vive</t>
  </si>
  <si>
    <t xml:space="preserve">Código 1 no Colab: o mesmo problema em quatro estilos</t>
  </si>
  <si>
    <t xml:space="preserve">Leitura do gráfico: linhas de código, tempo e alocação por estilo</t>
  </si>
  <si>
    <t xml:space="preserve">Código 2 no Colab: o mapa de Van Roy plotado a partir de dois eixos</t>
  </si>
  <si>
    <t xml:space="preserve">Código 3 no Colab: perfil de recursos por linguagem em barras agrupadas</t>
  </si>
  <si>
    <t xml:space="preserve">Laboratório</t>
  </si>
  <si>
    <t xml:space="preserve">Laboratório: configuração do ambiente (Python, Racket, Haskell/Elixir, SWI-Prolog)</t>
  </si>
  <si>
    <t xml:space="preserve">Roteiro numerado + captura de tela</t>
  </si>
  <si>
    <t xml:space="preserve">Roteiro de instalação e verificação em seis passos</t>
  </si>
  <si>
    <t xml:space="preserve">Alternativas na nuvem: Colab, Racket online e SWI-Prolog online</t>
  </si>
  <si>
    <t xml:space="preserve">Convenções de entrega: notebooks, repositório e nomeação de arquivos</t>
  </si>
  <si>
    <t xml:space="preserve">Síntese</t>
  </si>
  <si>
    <t xml:space="preserve">Síntese: o que de fato define um paradigma</t>
  </si>
  <si>
    <t xml:space="preserve">Tabela comparativa + checklist</t>
  </si>
  <si>
    <t xml:space="preserve">Tabela comparativa inicial dos seis paradigmas do semestre</t>
  </si>
  <si>
    <t xml:space="preserve">Equívocos conceituais que reencontraremos ao longo do curso</t>
  </si>
  <si>
    <t xml:space="preserve">Ponte para a Aula 2: como descrever uma linguagem formalmente</t>
  </si>
  <si>
    <t xml:space="preserve">Tarefa e leitura</t>
  </si>
  <si>
    <t xml:space="preserve">Trabalho 1 (1,0): enunciado, critérios e entrega na Aula 3</t>
  </si>
  <si>
    <t xml:space="preserve">Cartão de entrega + capa das referências</t>
  </si>
  <si>
    <t xml:space="preserve">Leitura prévia obrigatória e referências da aula</t>
  </si>
  <si>
    <t xml:space="preserve">Aula 2 — Descrição formal de linguagens</t>
  </si>
  <si>
    <t xml:space="preserve">Agenda dos 180 minutos</t>
  </si>
  <si>
    <t xml:space="preserve">Objetivos de aprendizagem da Aula 2</t>
  </si>
  <si>
    <t xml:space="preserve">Recapitulação: sintaxe, semântica e pragmática</t>
  </si>
  <si>
    <t xml:space="preserve">Quiz da leitura prévia: cinco questões rápidas</t>
  </si>
  <si>
    <t xml:space="preserve">O problema: como definir uma linguagem sem ambiguidade</t>
  </si>
  <si>
    <t xml:space="preserve">Alfabeto, cadeias e linguagens formais</t>
  </si>
  <si>
    <t xml:space="preserve">A hierarquia de Chomsky em uma página</t>
  </si>
  <si>
    <t xml:space="preserve">Por que linguagens de programação usam gramáticas livres de contexto</t>
  </si>
  <si>
    <t xml:space="preserve">Regras de produção: terminais, nao-terminais e símbolo inicial</t>
  </si>
  <si>
    <t xml:space="preserve">Derivações à esquerda e à direita</t>
  </si>
  <si>
    <t xml:space="preserve">Árvore de derivação e árvore sintática abstrata</t>
  </si>
  <si>
    <t xml:space="preserve">Ambiguidade: o clássico dangling else</t>
  </si>
  <si>
    <t xml:space="preserve">Precedência e associatividade codificadas na gramática</t>
  </si>
  <si>
    <t xml:space="preserve">BNF: a notação de Backus e Naur</t>
  </si>
  <si>
    <t xml:space="preserve">EBNF: repetição, opcionalidade e agrupamento</t>
  </si>
  <si>
    <t xml:space="preserve">Diagramas de sintaxe (railroad) como documentação</t>
  </si>
  <si>
    <t xml:space="preserve">Da EBNF ao parser recursivo descendente</t>
  </si>
  <si>
    <t xml:space="preserve">Tokenização: separando o léxico da sintaxe</t>
  </si>
  <si>
    <t xml:space="preserve">Construindo o parser de expressões aritméticas passo a passo</t>
  </si>
  <si>
    <t xml:space="preserve">A AST como estrutura de dados de um interpretador</t>
  </si>
  <si>
    <t xml:space="preserve">Percorrendo a AST: avaliação recursiva</t>
  </si>
  <si>
    <t xml:space="preserve">Semântica operacional: regras de transição</t>
  </si>
  <si>
    <t xml:space="preserve">Semântica denotacional: programas como funções matemáticas</t>
  </si>
  <si>
    <t xml:space="preserve">Semântica axiomática: pré-condições, pós-condições e a tripla de Hoare</t>
  </si>
  <si>
    <t xml:space="preserve">As três semânticas aplicadas ao mesmo comando while</t>
  </si>
  <si>
    <t xml:space="preserve">Código 1 no Colab: tokenizador, parser e AST desenhada em grafo</t>
  </si>
  <si>
    <t xml:space="preserve">Código 2 no Colab: profundidade da AST e tempo de parsing por expressão</t>
  </si>
  <si>
    <t xml:space="preserve">Código 3 no Colab: gerador aleatório de sentenças a partir de uma EBNF</t>
  </si>
  <si>
    <t xml:space="preserve">Programa sintaticamente válido nao é programa correto</t>
  </si>
  <si>
    <t xml:space="preserve">Laboratório: escrever a EBNF de uma mini-linguagem</t>
  </si>
  <si>
    <t xml:space="preserve">Laboratório: implementar o avaliador recursivo da própria gramática</t>
  </si>
  <si>
    <t xml:space="preserve">Casos de teste e armadilhas de precedência</t>
  </si>
  <si>
    <t xml:space="preserve">Checklist de qualidade de uma gramática</t>
  </si>
  <si>
    <t xml:space="preserve">Síntese: forma, significado e uso</t>
  </si>
  <si>
    <t xml:space="preserve">Tabela: BNF, EBNF e railroad lado a lado</t>
  </si>
  <si>
    <t xml:space="preserve">Erros frequentes ao escrever gramáticas</t>
  </si>
  <si>
    <t xml:space="preserve">Ponte para a Aula 3: o cálculo lambda como núcleo semântico</t>
  </si>
  <si>
    <t xml:space="preserve">Lembrete: entrega do Trabalho 1 na próxima aula</t>
  </si>
  <si>
    <t xml:space="preserve">Leitura prévia e referências da aula</t>
  </si>
  <si>
    <t xml:space="preserve">Aula 3 — O núcleo funcional: cálculo lambda e closures</t>
  </si>
  <si>
    <t xml:space="preserve">Objetivos de aprendizagem da Aula 3</t>
  </si>
  <si>
    <t xml:space="preserve">Recapitulação: da EBNF à AST</t>
  </si>
  <si>
    <t xml:space="preserve">Quiz da leitura prévia sobre funções de primeira classe</t>
  </si>
  <si>
    <t xml:space="preserve">Pergunta motivadora: qual é a menor linguagem de programação possível?</t>
  </si>
  <si>
    <t xml:space="preserve">Cálculo lambda: sintaxe em três construtores</t>
  </si>
  <si>
    <t xml:space="preserve">Variáveis livres e variáveis ligadas</t>
  </si>
  <si>
    <t xml:space="preserve">Alfa-conversão e captura de variáveis</t>
  </si>
  <si>
    <t xml:space="preserve">Beta-redução: a única regra de computação</t>
  </si>
  <si>
    <t xml:space="preserve">Eta-conversão e extensionalidade</t>
  </si>
  <si>
    <t xml:space="preserve">Ordem de redução: normal, aplicativa e formas normais</t>
  </si>
  <si>
    <t xml:space="preserve">Codificações de Church: booleanos, números e pares</t>
  </si>
  <si>
    <t xml:space="preserve">O combinador Y e a recursão sem nome</t>
  </si>
  <si>
    <t xml:space="preserve">Ligação de nomes: o que é um ambiente</t>
  </si>
  <si>
    <t xml:space="preserve">Escopo léxico e escopo dinâmico lado a lado</t>
  </si>
  <si>
    <t xml:space="preserve">O clássico exemplo que distingue os dois escopos</t>
  </si>
  <si>
    <t xml:space="preserve">Closure: código mais ambiente capturado</t>
  </si>
  <si>
    <t xml:space="preserve">Como uma closure é representada na memória</t>
  </si>
  <si>
    <t xml:space="preserve">Closures como objetos de um homem pobre</t>
  </si>
  <si>
    <t xml:space="preserve">Aplicação parcial e fábricas de funções</t>
  </si>
  <si>
    <t xml:space="preserve">O erro clássico da captura em laços</t>
  </si>
  <si>
    <t xml:space="preserve">Funções de primeira classe em Python, JavaScript e Haskell</t>
  </si>
  <si>
    <t xml:space="preserve">Decoradores em Python vistos como closures</t>
  </si>
  <si>
    <t xml:space="preserve">Tempo de vida de variáveis capturadas e vazamentos</t>
  </si>
  <si>
    <t xml:space="preserve">Cálculo lambda como fundamento de compiladores e sistemas de tipos</t>
  </si>
  <si>
    <t xml:space="preserve">Código 1 no Colab: interpretador de cálculo lambda com contagem de reduções</t>
  </si>
  <si>
    <t xml:space="preserve">Código 2 no Colab: gráfico de reduções por estratégia de avaliação</t>
  </si>
  <si>
    <t xml:space="preserve">Código 3 no Colab: closures, contadores e visualização do ambiente capturado</t>
  </si>
  <si>
    <t xml:space="preserve">Leitura dos gráficos: por que ordem normal termina onde a aplicativa diverge</t>
  </si>
  <si>
    <t xml:space="preserve">Laboratório: closures e primeira classe em três linguagens</t>
  </si>
  <si>
    <t xml:space="preserve">Laboratório: implementar map, filter e compose com lambdas puros</t>
  </si>
  <si>
    <t xml:space="preserve">Roteiro de verificação e casos de teste</t>
  </si>
  <si>
    <t xml:space="preserve">Critérios de avaliação do laboratório de hoje</t>
  </si>
  <si>
    <t xml:space="preserve">Síntese: nomes, ambientes e captura</t>
  </si>
  <si>
    <t xml:space="preserve">Tabela: escopo léxico e dinâmico, vantagens e riscos</t>
  </si>
  <si>
    <t xml:space="preserve">Erros conceituais mais comuns sobre closures</t>
  </si>
  <si>
    <t xml:space="preserve">Ponte para a Aula 4: programação funcional na prática</t>
  </si>
  <si>
    <t xml:space="preserve">Entrega do Trabalho 1 (1,0) e lançamento do Trabalho 2</t>
  </si>
  <si>
    <t xml:space="preserve">Aula 4 — Paradigma funcional I</t>
  </si>
  <si>
    <t xml:space="preserve">Objetivos de aprendizagem da Aula 4</t>
  </si>
  <si>
    <t xml:space="preserve">Recapitulação: closures e ambientes</t>
  </si>
  <si>
    <t xml:space="preserve">Quiz da leitura prévia sobre efeitos colaterais</t>
  </si>
  <si>
    <t xml:space="preserve">Provocação: por que o funcional voltou à moda em 2010?</t>
  </si>
  <si>
    <t xml:space="preserve">Transparência referencial e substituição de iguais por iguais</t>
  </si>
  <si>
    <t xml:space="preserve">Função pura e função com efeito: como distinguir</t>
  </si>
  <si>
    <t xml:space="preserve">Efeitos colaterais escondidos em código do dia a dia</t>
  </si>
  <si>
    <t xml:space="preserve">Imutabilidade: estruturas persistentes e compartilhamento estrutural</t>
  </si>
  <si>
    <t xml:space="preserve">Custo e benefício da imutabilidade em memória</t>
  </si>
  <si>
    <t xml:space="preserve">Copiar, congelar ou reconstruir: três estratégias</t>
  </si>
  <si>
    <t xml:space="preserve">Igualdade estrutural e identidade referencial</t>
  </si>
  <si>
    <t xml:space="preserve">Testabilidade e paralelização como consequências da pureza</t>
  </si>
  <si>
    <t xml:space="preserve">Funções de ordem superior: aceitar e devolver funções</t>
  </si>
  <si>
    <t xml:space="preserve">map: transformar sem iterar explicitamente</t>
  </si>
  <si>
    <t xml:space="preserve">filter: selecionar declarativamente</t>
  </si>
  <si>
    <t xml:space="preserve">reduce e fold: a operação mais geral das três</t>
  </si>
  <si>
    <t xml:space="preserve">foldl e foldr: associatividade e consumo de pilha</t>
  </si>
  <si>
    <t xml:space="preserve">Composição de funções e estilo pointfree</t>
  </si>
  <si>
    <t xml:space="preserve">Pipelines de dados como cadeia de transformações</t>
  </si>
  <si>
    <t xml:space="preserve">Comprehensions e geradores como açúcar sintático</t>
  </si>
  <si>
    <t xml:space="preserve">Recursão como substituta do laço</t>
  </si>
  <si>
    <t xml:space="preserve">Recursão de cauda e eliminação de quadros de pilha</t>
  </si>
  <si>
    <t xml:space="preserve">Por que Python nao otimiza chamadas de cauda</t>
  </si>
  <si>
    <t xml:space="preserve">Transformando recursão em iteração com acumuladores</t>
  </si>
  <si>
    <t xml:space="preserve">Código 1 no Colab: refatoração imperativa para funcional com métricas</t>
  </si>
  <si>
    <t xml:space="preserve">Código 2 no Colab: profundidade de recursão e limite de pilha em gráfico</t>
  </si>
  <si>
    <t xml:space="preserve">Código 3 no Colab: pipeline map/filter/reduce com gráfico de desempenho</t>
  </si>
  <si>
    <t xml:space="preserve">Leitura dos gráficos: memória, tempo e legibilidade</t>
  </si>
  <si>
    <t xml:space="preserve">Laboratório: refatorar um algoritmo imperativo para estilo puro</t>
  </si>
  <si>
    <t xml:space="preserve">Laboratório: reescrever três laços como fold</t>
  </si>
  <si>
    <t xml:space="preserve">Roteiro de verificação com testes de propriedade</t>
  </si>
  <si>
    <t xml:space="preserve">Critérios de avaliação do laboratório</t>
  </si>
  <si>
    <t xml:space="preserve">Síntese: pureza, ordem superior e recursão</t>
  </si>
  <si>
    <t xml:space="preserve">Tabela: laço, recursão e fold comparados</t>
  </si>
  <si>
    <t xml:space="preserve">Erros frequentes ao adotar estilo funcional</t>
  </si>
  <si>
    <t xml:space="preserve">Ponte para a Aula 5: dados algébricos e pattern matching</t>
  </si>
  <si>
    <t xml:space="preserve">Lembrete: Trabalho 2 entrega na próxima aula</t>
  </si>
  <si>
    <t xml:space="preserve">Aula 5 — Paradigma funcional II</t>
  </si>
  <si>
    <t xml:space="preserve">Objetivos de aprendizagem da Aula 5</t>
  </si>
  <si>
    <t xml:space="preserve">Recapitulação: pureza, ordem superior e fold</t>
  </si>
  <si>
    <t xml:space="preserve">Quiz da leitura prévia sobre tipos de dados</t>
  </si>
  <si>
    <t xml:space="preserve">Provocação: quantos ifs seu último código teve por causa de dados mal modelados?</t>
  </si>
  <si>
    <t xml:space="preserve">Tipos algébricos: produtos e somas</t>
  </si>
  <si>
    <t xml:space="preserve">Produto: tuplas, registros e structs</t>
  </si>
  <si>
    <t xml:space="preserve">Soma: uniões etiquetadas e enumerações</t>
  </si>
  <si>
    <t xml:space="preserve">Tipos soma como alternativa a hierarquias de classes</t>
  </si>
  <si>
    <t xml:space="preserve">Tornando estados inválidos irrepresentáveis</t>
  </si>
  <si>
    <t xml:space="preserve">Option e Result: eliminando null e exceções de fluxo</t>
  </si>
  <si>
    <t xml:space="preserve">Tipos recursivos: listas e árvores como ADTs</t>
  </si>
  <si>
    <t xml:space="preserve">Modelando um domínio real com ADTs</t>
  </si>
  <si>
    <t xml:space="preserve">Pattern matching: destructuring com verificação</t>
  </si>
  <si>
    <t xml:space="preserve">Exaustividade e o alerta do compilador</t>
  </si>
  <si>
    <t xml:space="preserve">Guardas e padrões aninhados</t>
  </si>
  <si>
    <t xml:space="preserve">match do Python 3.10 e seus limites</t>
  </si>
  <si>
    <t xml:space="preserve">Pattern matching em Haskell e em Elixir</t>
  </si>
  <si>
    <t xml:space="preserve">Currying e aplicação parcial</t>
  </si>
  <si>
    <t xml:space="preserve">Assinaturas curried e leitura de tipos</t>
  </si>
  <si>
    <t xml:space="preserve">Avaliação preguiçosa: adiar até precisar</t>
  </si>
  <si>
    <t xml:space="preserve">Thunks, memoização e como a preguiça é implementada</t>
  </si>
  <si>
    <t xml:space="preserve">Listas infinitas e produtor-consumidor implícito</t>
  </si>
  <si>
    <t xml:space="preserve">Vazamentos de espaço: o lado escuro da preguiça</t>
  </si>
  <si>
    <t xml:space="preserve">Geradores e itertools como preguiça em Python</t>
  </si>
  <si>
    <t xml:space="preserve">Código 1 no Colab: ADTs e pattern matching com dataclasses e match</t>
  </si>
  <si>
    <t xml:space="preserve">Código 2 no Colab: preguiça e memoização com gráfico de chamadas evitadas</t>
  </si>
  <si>
    <t xml:space="preserve">Código 3 no Colab: currying, composição e árvore de expressão avaliada</t>
  </si>
  <si>
    <t xml:space="preserve">Leitura dos gráficos: trabalho evitado pela avaliação preguiçosa</t>
  </si>
  <si>
    <t xml:space="preserve">Laboratório: modelagem de domínio com ADTs em Haskell ou Elixir</t>
  </si>
  <si>
    <t xml:space="preserve">Laboratório: interpretador de expressões usando somente pattern matching</t>
  </si>
  <si>
    <t xml:space="preserve">Síntese: dados, padrões e avaliação</t>
  </si>
  <si>
    <t xml:space="preserve">Tabela: ADT, classe e dicionário comparados</t>
  </si>
  <si>
    <t xml:space="preserve">Erros frequentes com tipos soma e preguiça</t>
  </si>
  <si>
    <t xml:space="preserve">Ponte para a Aula 6: construir o interpretador</t>
  </si>
  <si>
    <t xml:space="preserve">Entrega do Trabalho 2 (1,0) e lançamento do Trabalho 3</t>
  </si>
  <si>
    <t xml:space="preserve">Aula 6 — Interpretadores como método de estudo</t>
  </si>
  <si>
    <t xml:space="preserve">Objetivos de aprendizagem da Aula 6</t>
  </si>
  <si>
    <t xml:space="preserve">Recapitulação: AST, ambientes e closures</t>
  </si>
  <si>
    <t xml:space="preserve">Quiz da leitura prévia sobre avaliação de expressões</t>
  </si>
  <si>
    <t xml:space="preserve">Provocação: entender uma linguagem é conseguir implementá-la</t>
  </si>
  <si>
    <t xml:space="preserve">Arquitetura de um interpretador em quatro estágios</t>
  </si>
  <si>
    <t xml:space="preserve">Interpretador, compilador e máquina virtual</t>
  </si>
  <si>
    <t xml:space="preserve">O avaliador metacircular e a ideia de SICP</t>
  </si>
  <si>
    <t xml:space="preserve">eval e apply: o par mutuamente recursivo</t>
  </si>
  <si>
    <t xml:space="preserve">Representando a AST: nós, folhas e visitantes</t>
  </si>
  <si>
    <t xml:space="preserve">Ambiente como cadeia de escopos</t>
  </si>
  <si>
    <t xml:space="preserve">Busca de nomes e sombreamento de variáveis</t>
  </si>
  <si>
    <t xml:space="preserve">Extensão de ambiente na chamada de função</t>
  </si>
  <si>
    <t xml:space="preserve">Avaliação de literais e operadores primitivos</t>
  </si>
  <si>
    <t xml:space="preserve">Avaliação de condicionais e curto-circuito</t>
  </si>
  <si>
    <t xml:space="preserve">Definição e chamada de funções na linguagem-alvo</t>
  </si>
  <si>
    <t xml:space="preserve">Closures na implementação: capturando o ambiente de definição</t>
  </si>
  <si>
    <t xml:space="preserve">Escopo estático implementado corretamente</t>
  </si>
  <si>
    <t xml:space="preserve">Recursão sem estado mutável: let rec e ponto fixo</t>
  </si>
  <si>
    <t xml:space="preserve">Tratamento de erros e mensagens úteis ao usuário</t>
  </si>
  <si>
    <t xml:space="preserve">Como testar um interpretador</t>
  </si>
  <si>
    <t xml:space="preserve">Estratégia de crescimento do projeto ao longo do semestre</t>
  </si>
  <si>
    <t xml:space="preserve">Etapa 1 do projeto: expressões e funções</t>
  </si>
  <si>
    <t xml:space="preserve">Critérios de qualidade do código entregue</t>
  </si>
  <si>
    <t xml:space="preserve">Armadilhas: avaliação ansiosa demais e ambientes compartilhados</t>
  </si>
  <si>
    <t xml:space="preserve">Código 1 no Colab: interpretador de expressões com ambiente</t>
  </si>
  <si>
    <t xml:space="preserve">Código 2 no Colab: funções de primeira classe e closures no interpretador</t>
  </si>
  <si>
    <t xml:space="preserve">Código 3 no Colab: rastreamento de avaliação com gráfico da pilha</t>
  </si>
  <si>
    <t xml:space="preserve">Leitura dos gráficos: profundidade da pilha e número de avaliações</t>
  </si>
  <si>
    <t xml:space="preserve">Laboratório: projeto incremental etapa 1</t>
  </si>
  <si>
    <t xml:space="preserve">Laboratório: bateria de testes do próprio interpretador</t>
  </si>
  <si>
    <t xml:space="preserve">Roteiro de verificação e critérios de aceitação</t>
  </si>
  <si>
    <t xml:space="preserve">Como versionar e documentar o projeto</t>
  </si>
  <si>
    <t xml:space="preserve">Síntese: eval, apply e ambiente</t>
  </si>
  <si>
    <t xml:space="preserve">Tabela: interpretador de árvore, bytecode e compilação</t>
  </si>
  <si>
    <t xml:space="preserve">Erros frequentes na etapa 1</t>
  </si>
  <si>
    <t xml:space="preserve">Ponte para a Aula 7: acrescentar estado mutável</t>
  </si>
  <si>
    <t xml:space="preserve">Lembrete: Trabalho 3 entrega na próxima aula</t>
  </si>
  <si>
    <t xml:space="preserve">Aula 7 — Paradigma imperativo</t>
  </si>
  <si>
    <t xml:space="preserve">Objetivos de aprendizagem da Aula 7</t>
  </si>
  <si>
    <t xml:space="preserve">Recapitulação: interpretador sem estado</t>
  </si>
  <si>
    <t xml:space="preserve">Quiz da leitura prévia sobre atribuição</t>
  </si>
  <si>
    <t xml:space="preserve">Provocação: por que a atribuição é uma escolha, e nao uma obviedade</t>
  </si>
  <si>
    <t xml:space="preserve">O modelo de von Neumann e sua herança nas linguagens</t>
  </si>
  <si>
    <t xml:space="preserve">Estado nomeado: célula, endereço e valor</t>
  </si>
  <si>
    <t xml:space="preserve">Atribuição destrutiva e perda de transparência referencial</t>
  </si>
  <si>
    <t xml:space="preserve">Variável como nome, como caixa e como referência</t>
  </si>
  <si>
    <t xml:space="preserve">Aliasing: dois nomes, uma célula</t>
  </si>
  <si>
    <t xml:space="preserve">Aliasing em Python: o exemplo da lista compartilhada</t>
  </si>
  <si>
    <t xml:space="preserve">Passagem por valor, por referência e por compartilhamento</t>
  </si>
  <si>
    <t xml:space="preserve">Sequência, seleção e repetição: o teorema da programação estruturada</t>
  </si>
  <si>
    <t xml:space="preserve">goto, break, continue e fluxo nao estruturado</t>
  </si>
  <si>
    <t xml:space="preserve">Invariantes de laço e raciocínio sobre programas imperativos</t>
  </si>
  <si>
    <t xml:space="preserve">Efeitos colaterais e ordem de avaliação de argumentos</t>
  </si>
  <si>
    <t xml:space="preserve">Comandos versus expressões: linguagens que apagam a fronteira</t>
  </si>
  <si>
    <t xml:space="preserve">Gerência de memória: pilha, heap e tempo de vida</t>
  </si>
  <si>
    <t xml:space="preserve">Alocação manual, contagem de referências e coletor de lixo</t>
  </si>
  <si>
    <t xml:space="preserve">Ciclos de referência e vazamentos em linguagens gerenciadas</t>
  </si>
  <si>
    <t xml:space="preserve">Ponteiros, referências e propriedade (ownership)</t>
  </si>
  <si>
    <t xml:space="preserve">Como Rust resolve aliasing sem coletor de lixo</t>
  </si>
  <si>
    <t xml:space="preserve">Custo do estado: concorrência, testes e depuração</t>
  </si>
  <si>
    <t xml:space="preserve">Quando o estado mutável é a escolha certa</t>
  </si>
  <si>
    <t xml:space="preserve">Estilo imperativo disciplinado: escopo mínimo e mutação local</t>
  </si>
  <si>
    <t xml:space="preserve">Código 1 no Colab: aliasing e cópia rasa versus profunda, com diagrama de objetos</t>
  </si>
  <si>
    <t xml:space="preserve">Código 2 no Colab: interpretador ganha atribuição, laços e store</t>
  </si>
  <si>
    <t xml:space="preserve">Código 3 no Colab: perfil de memória e coleta de lixo em gráfico</t>
  </si>
  <si>
    <t xml:space="preserve">Leitura dos gráficos: quando a mutação compensa</t>
  </si>
  <si>
    <t xml:space="preserve">Laboratório: projeto incremental etapa 2 — estado mutável e laços</t>
  </si>
  <si>
    <t xml:space="preserve">Laboratório: reproduzir e corrigir um bug de aliasing</t>
  </si>
  <si>
    <t xml:space="preserve">Como comparar sua etapa 2 com a etapa 1</t>
  </si>
  <si>
    <t xml:space="preserve">Síntese: estado, aliasing e memória</t>
  </si>
  <si>
    <t xml:space="preserve">Tabela: puro, imperativo disciplinado e imperativo livre</t>
  </si>
  <si>
    <t xml:space="preserve">Erros frequentes na etapa 2 do projeto</t>
  </si>
  <si>
    <t xml:space="preserve">Ponte para a Aula 8: tipos e abstração de dados</t>
  </si>
  <si>
    <t xml:space="preserve">Entrega do Trabalho 3 (1,0)</t>
  </si>
  <si>
    <t xml:space="preserve">Aula 8 — Sistemas de tipos e abstração de dados</t>
  </si>
  <si>
    <t xml:space="preserve">Objetivos de aprendizagem da Aula 8</t>
  </si>
  <si>
    <t xml:space="preserve">Recapitulação: estado, store e memória</t>
  </si>
  <si>
    <t xml:space="preserve">Quiz da leitura prévia sobre tipagem</t>
  </si>
  <si>
    <t xml:space="preserve">Provocação: o que um tipo realmente promete?</t>
  </si>
  <si>
    <t xml:space="preserve">O que é um tipo: conjunto de valores mais operações</t>
  </si>
  <si>
    <t xml:space="preserve">Tipagem estática e dinâmica: quando o erro aparece</t>
  </si>
  <si>
    <t xml:space="preserve">Tipagem forte e fraca: o que a linguagem deixa passar</t>
  </si>
  <si>
    <t xml:space="preserve">Coerção implícita e as surpresas do JavaScript</t>
  </si>
  <si>
    <t xml:space="preserve">Verificação de tipos: regras de julgamento</t>
  </si>
  <si>
    <t xml:space="preserve">Inferência de tipos: Hindley-Milner em espírito</t>
  </si>
  <si>
    <t xml:space="preserve">Unificação como motor da inferência</t>
  </si>
  <si>
    <t xml:space="preserve">Polimorfismo paramétrico: um código, muitos tipos</t>
  </si>
  <si>
    <t xml:space="preserve">Polimorfismo ad hoc: sobrecarga e type classes</t>
  </si>
  <si>
    <t xml:space="preserve">Subtipagem e variância em uma página</t>
  </si>
  <si>
    <t xml:space="preserve">Tipagem gradual: type hints, mypy e TypeScript</t>
  </si>
  <si>
    <t xml:space="preserve">Tipos dependentes e refinamentos: um vislumbre</t>
  </si>
  <si>
    <t xml:space="preserve">Segurança de tipos e o teorema de progresso e preservação</t>
  </si>
  <si>
    <t xml:space="preserve">Abstração de dados: separar interface de representação</t>
  </si>
  <si>
    <t xml:space="preserve">Tipo abstrato de dados: assinatura, axiomas e implementação</t>
  </si>
  <si>
    <t xml:space="preserve">Ocultação de informação e o princípio de Parnas</t>
  </si>
  <si>
    <t xml:space="preserve">TAD versus objeto: duas formas de esconder representação</t>
  </si>
  <si>
    <t xml:space="preserve">Módulos, pacotes e fronteiras de compilação</t>
  </si>
  <si>
    <t xml:space="preserve">Contratos: pré-condições, pós-condições e invariantes</t>
  </si>
  <si>
    <t xml:space="preserve">Programação por contrato e testes baseados em propriedades</t>
  </si>
  <si>
    <t xml:space="preserve">Código 1 no Colab: inferência de tipos com unificação, passo a passo</t>
  </si>
  <si>
    <t xml:space="preserve">Código 2 no Colab: mesmo TAD com closures, classe e módulo</t>
  </si>
  <si>
    <t xml:space="preserve">Código 3 no Colab: erros capturados por camada, em gráfico comparativo</t>
  </si>
  <si>
    <t xml:space="preserve">Leitura dos gráficos: quantos erros cada disciplina captura</t>
  </si>
  <si>
    <t xml:space="preserve">Laboratório: estudo comparativo entre Python, TypeScript, Java e Haskell</t>
  </si>
  <si>
    <t xml:space="preserve">Laboratório: implementar uma pilha como TAD com contratos</t>
  </si>
  <si>
    <t xml:space="preserve">Como registrar as conclusões do comparativo</t>
  </si>
  <si>
    <t xml:space="preserve">Síntese: tipos, abstração e modularidade</t>
  </si>
  <si>
    <t xml:space="preserve">Tabela: quatro linguagens em cinco dimensões de tipagem</t>
  </si>
  <si>
    <t xml:space="preserve">Erros frequentes sobre tipagem forte e estática</t>
  </si>
  <si>
    <t xml:space="preserve">Ponte para a Aula 9: seminários comparativos</t>
  </si>
  <si>
    <t xml:space="preserve">Orientações finais para o Trabalho de Apresentação 1</t>
  </si>
  <si>
    <t xml:space="preserve">Deck reduzido</t>
  </si>
  <si>
    <t xml:space="preserve">Aula 9 — Seminários do Trabalho de Apresentação 1</t>
  </si>
  <si>
    <t xml:space="preserve">Rubrica projetada / mapa conceitual</t>
  </si>
  <si>
    <t xml:space="preserve">Regras da sessão: tempo, ordem e arguição</t>
  </si>
  <si>
    <t xml:space="preserve">Rubrica de avaliação projetada</t>
  </si>
  <si>
    <t xml:space="preserve">Sorteio da ordem de apresentação</t>
  </si>
  <si>
    <t xml:space="preserve">Bloco 1 de apresentações (3 grupos)</t>
  </si>
  <si>
    <t xml:space="preserve">Arguição e devolutiva do bloco 1</t>
  </si>
  <si>
    <t xml:space="preserve">Bloco 2 de apresentações (3 grupos)</t>
  </si>
  <si>
    <t xml:space="preserve">Arguição e devolutiva do bloco 2</t>
  </si>
  <si>
    <t xml:space="preserve">Bloco 3 de apresentações (3 grupos)</t>
  </si>
  <si>
    <t xml:space="preserve">Arguição e devolutiva do bloco 3</t>
  </si>
  <si>
    <t xml:space="preserve">Painel comparativo: soluções por paradigma</t>
  </si>
  <si>
    <t xml:space="preserve">O que os grupos convergiram e divergiram</t>
  </si>
  <si>
    <t xml:space="preserve">Revisão integrada das Aulas 1 a 8</t>
  </si>
  <si>
    <t xml:space="preserve">Mapa conceitual do bloco G1</t>
  </si>
  <si>
    <t xml:space="preserve">Questões-modelo da Prova G1</t>
  </si>
  <si>
    <t xml:space="preserve">Distribuição de pontos e formato da prova</t>
  </si>
  <si>
    <t xml:space="preserve">Erros mais comuns identificados nos trabalhos</t>
  </si>
  <si>
    <t xml:space="preserve">Dúvidas abertas</t>
  </si>
  <si>
    <t xml:space="preserve">Orientações finais para a Prova G1</t>
  </si>
  <si>
    <t xml:space="preserve">Referências para a revisão</t>
  </si>
  <si>
    <t xml:space="preserve">Sem deck</t>
  </si>
  <si>
    <t xml:space="preserve">Encontro exclusivo de avaliação</t>
  </si>
  <si>
    <t xml:space="preserve">Aula 11 — Orientação a objetos sob a ótica de paradigmas</t>
  </si>
  <si>
    <t xml:space="preserve">Objetivos de aprendizagem da Aula 11</t>
  </si>
  <si>
    <t xml:space="preserve">Recapitulação: TAD, contratos e modularidade</t>
  </si>
  <si>
    <t xml:space="preserve">Quiz da leitura prévia sobre despacho</t>
  </si>
  <si>
    <t xml:space="preserve">Provocação: o que Alan Kay realmente quis dizer com objetos</t>
  </si>
  <si>
    <t xml:space="preserve">A ideia original: troca de mensagens, nao classes</t>
  </si>
  <si>
    <t xml:space="preserve">Objeto como cápsula de estado e comportamento</t>
  </si>
  <si>
    <t xml:space="preserve">Objeto versus TAD: quem conhece a representação de quem</t>
  </si>
  <si>
    <t xml:space="preserve">Encapsulamento como decisão de projeto, nao como palavra-chave</t>
  </si>
  <si>
    <t xml:space="preserve">Despacho dinâmico: escolher o método em tempo de execução</t>
  </si>
  <si>
    <t xml:space="preserve">Tabelas virtuais e como o despacho é implementado</t>
  </si>
  <si>
    <t xml:space="preserve">Despacho simples, múltiplo e por padrão</t>
  </si>
  <si>
    <t xml:space="preserve">Objetos implementados com closures: a equivalência</t>
  </si>
  <si>
    <t xml:space="preserve">Subtipagem versus subclasse</t>
  </si>
  <si>
    <t xml:space="preserve">Princípio de substituição de Liskov na prática</t>
  </si>
  <si>
    <t xml:space="preserve">Variância de parâmetros e retornos em hierarquias</t>
  </si>
  <si>
    <t xml:space="preserve">Herança: reuso, extensão e acoplamento</t>
  </si>
  <si>
    <t xml:space="preserve">O problema do diamante e as soluções de cada linguagem</t>
  </si>
  <si>
    <t xml:space="preserve">Composição como alternativa padrão à herança</t>
  </si>
  <si>
    <t xml:space="preserve">Mixins, traits e interfaces com implementação</t>
  </si>
  <si>
    <t xml:space="preserve">Protótipos: JavaScript, Self e delegação</t>
  </si>
  <si>
    <t xml:space="preserve">Classe versus protótipo: dois modelos de compartilhamento</t>
  </si>
  <si>
    <t xml:space="preserve">OO e funcional: o problema da expressão</t>
  </si>
  <si>
    <t xml:space="preserve">Padrões de projeto como sintomas de limitações da linguagem</t>
  </si>
  <si>
    <t xml:space="preserve">Quando OO ajuda e quando atrapalha</t>
  </si>
  <si>
    <t xml:space="preserve">Código 1 no Colab: despacho dinâmico implementado com closures</t>
  </si>
  <si>
    <t xml:space="preserve">Código 2 no Colab: objeto, dicionário e classe comparados em desempenho</t>
  </si>
  <si>
    <t xml:space="preserve">Código 3 no Colab: MRO e linearização C3 visualizados em grafo</t>
  </si>
  <si>
    <t xml:space="preserve">Leitura dos gráficos: custo do despacho e forma da hierarquia</t>
  </si>
  <si>
    <t xml:space="preserve">Laboratório: reimplementar uma hierarquia usando apenas closures</t>
  </si>
  <si>
    <t xml:space="preserve">Laboratório: refatorar herança para composição</t>
  </si>
  <si>
    <t xml:space="preserve">Como documentar as decisões de projeto</t>
  </si>
  <si>
    <t xml:space="preserve">Síntese: mensagem, despacho e subtipagem</t>
  </si>
  <si>
    <t xml:space="preserve">Tabela: Java, Python, JavaScript e Elixir no quesito OO</t>
  </si>
  <si>
    <t xml:space="preserve">Erros conceituais frequentes sobre herança</t>
  </si>
  <si>
    <t xml:space="preserve">Ponte para a Aula 12: programar declarando fatos e regras</t>
  </si>
  <si>
    <t xml:space="preserve">Lançamento do Trabalho 4</t>
  </si>
  <si>
    <t xml:space="preserve">Aula 12 — Paradigma lógico I</t>
  </si>
  <si>
    <t xml:space="preserve">Objetivos de aprendizagem da Aula 12</t>
  </si>
  <si>
    <t xml:space="preserve">Recapitulação: despacho e subtipagem</t>
  </si>
  <si>
    <t xml:space="preserve">Quiz da leitura prévia sobre lógica de primeira ordem</t>
  </si>
  <si>
    <t xml:space="preserve">Provocação: descrever o problema em vez de descrever a solução</t>
  </si>
  <si>
    <t xml:space="preserve">Programação declarativa: o que, nao como</t>
  </si>
  <si>
    <t xml:space="preserve">Lógica de primeira ordem em cinco minutos</t>
  </si>
  <si>
    <t xml:space="preserve">Cláusulas de Horn: a fatia computável da lógica</t>
  </si>
  <si>
    <t xml:space="preserve">Fatos, regras e consultas em Prolog</t>
  </si>
  <si>
    <t xml:space="preserve">Termos, átomos, variáveis e functores</t>
  </si>
  <si>
    <t xml:space="preserve">Listas em Prolog e notação de cabeça e cauda</t>
  </si>
  <si>
    <t xml:space="preserve">Aritmética e o operador is</t>
  </si>
  <si>
    <t xml:space="preserve">A base de conhecimento como programa</t>
  </si>
  <si>
    <t xml:space="preserve">Unificação: casamento bidirecional de termos</t>
  </si>
  <si>
    <t xml:space="preserve">Algoritmo de unificação passo a passo</t>
  </si>
  <si>
    <t xml:space="preserve">Substituições e o unificador mais geral</t>
  </si>
  <si>
    <t xml:space="preserve">Occurs check e por que Prolog o omite</t>
  </si>
  <si>
    <t xml:space="preserve">Resolução SLD: o motor de inferência</t>
  </si>
  <si>
    <t xml:space="preserve">Árvore de busca SLD e ordem das cláusulas</t>
  </si>
  <si>
    <t xml:space="preserve">Busca em profundidade e o risco de laço infinito</t>
  </si>
  <si>
    <t xml:space="preserve">Ordem das cláusulas e ordem dos objetivos importam</t>
  </si>
  <si>
    <t xml:space="preserve">Modelo de execução: chamar, sair, redo e falhar</t>
  </si>
  <si>
    <t xml:space="preserve">Rastreamento com trace no SWI-Prolog</t>
  </si>
  <si>
    <t xml:space="preserve">Relações versus funções: consultas em múltiplas direções</t>
  </si>
  <si>
    <t xml:space="preserve">Onde o paradigma lógico é usado hoje</t>
  </si>
  <si>
    <t xml:space="preserve">Código 1 no Colab: algoritmo de unificação implementado em Python</t>
  </si>
  <si>
    <t xml:space="preserve">Código 2 no Colab: mini-Prolog com resolução SLD e árvore de busca plotada</t>
  </si>
  <si>
    <t xml:space="preserve">Código 3 no Colab: base de conhecimento genealógica e grafo de relações</t>
  </si>
  <si>
    <t xml:space="preserve">Leitura dos gráficos: tamanho da árvore de busca por ordem de cláusulas</t>
  </si>
  <si>
    <t xml:space="preserve">Laboratório: base de conhecimento em SWI-Prolog</t>
  </si>
  <si>
    <t xml:space="preserve">Laboratório: consultas em múltiplas direções sobre a mesma relação</t>
  </si>
  <si>
    <t xml:space="preserve">Como testar um programa lógico</t>
  </si>
  <si>
    <t xml:space="preserve">Síntese: unificação, resolução e busca</t>
  </si>
  <si>
    <t xml:space="preserve">Tabela: funcional, imperativo e lógico no mesmo problema</t>
  </si>
  <si>
    <t xml:space="preserve">Erros frequentes de quem vem do imperativo</t>
  </si>
  <si>
    <t xml:space="preserve">Ponte para a Aula 13: controle de busca e restrições</t>
  </si>
  <si>
    <t xml:space="preserve">Entrega do Trabalho 4 (1,0)</t>
  </si>
  <si>
    <t xml:space="preserve">Aula 13 — Paradigma lógico II</t>
  </si>
  <si>
    <t xml:space="preserve">Objetivos de aprendizagem da Aula 13</t>
  </si>
  <si>
    <t xml:space="preserve">Recapitulação: unificação e resolução SLD</t>
  </si>
  <si>
    <t xml:space="preserve">Quiz da leitura prévia sobre backtracking</t>
  </si>
  <si>
    <t xml:space="preserve">Provocação: quando a busca precisa ser podada</t>
  </si>
  <si>
    <t xml:space="preserve">Backtracking: como o Prolog desfaz escolhas</t>
  </si>
  <si>
    <t xml:space="preserve">Pontos de escolha e a pilha de alternativas</t>
  </si>
  <si>
    <t xml:space="preserve">Corte (cut): semântica e efeito na árvore de busca</t>
  </si>
  <si>
    <t xml:space="preserve">Corte verde e corte vermelho</t>
  </si>
  <si>
    <t xml:space="preserve">Negação por falha e hipótese do mundo fechado</t>
  </si>
  <si>
    <t xml:space="preserve">Por que negação por falha nao é negação lógica</t>
  </si>
  <si>
    <t xml:space="preserve">Recursão sobre listas: append, member e reverse</t>
  </si>
  <si>
    <t xml:space="preserve">Acumuladores e listas de diferença</t>
  </si>
  <si>
    <t xml:space="preserve">Predicados de segunda ordem: findall, bagof e setof</t>
  </si>
  <si>
    <t xml:space="preserve">Geração e teste como estratégia de resolução</t>
  </si>
  <si>
    <t xml:space="preserve">Programação em lógica com restrições: a ideia central</t>
  </si>
  <si>
    <t xml:space="preserve">CLP(FD): domínios finitos e propagação</t>
  </si>
  <si>
    <t xml:space="preserve">Propagação de restrições versus busca cega</t>
  </si>
  <si>
    <t xml:space="preserve">Rotulação, heurísticas de variável e de valor</t>
  </si>
  <si>
    <t xml:space="preserve">Modelando o SEND+MORE=MONEY com restrições</t>
  </si>
  <si>
    <t xml:space="preserve">Modelando as N rainhas e o Sudoku</t>
  </si>
  <si>
    <t xml:space="preserve">Answer Set Programming: estável, declarativo e finito</t>
  </si>
  <si>
    <t xml:space="preserve">Regras, escolhas e restrições de integridade em ASP</t>
  </si>
  <si>
    <t xml:space="preserve">Prolog, CLP e ASP: quando usar cada um</t>
  </si>
  <si>
    <t xml:space="preserve">Aplicações industriais de restrições e escalonamento</t>
  </si>
  <si>
    <t xml:space="preserve">Código 1 no Colab: backtracking explícito com árvore de busca desenhada</t>
  </si>
  <si>
    <t xml:space="preserve">Código 2 no Colab: N rainhas com restrições e gráfico de nós explorados</t>
  </si>
  <si>
    <t xml:space="preserve">Código 3 no Colab: efeito do corte e da propagação em gráfico comparativo</t>
  </si>
  <si>
    <t xml:space="preserve">Leitura dos gráficos: podas que reduzem a busca em ordens de grandeza</t>
  </si>
  <si>
    <t xml:space="preserve">Laboratório: puzzles combinatórios com CLP(FD)</t>
  </si>
  <si>
    <t xml:space="preserve">Laboratório: comparar geração e teste com propagação</t>
  </si>
  <si>
    <t xml:space="preserve">Como relatar os resultados experimentais</t>
  </si>
  <si>
    <t xml:space="preserve">Síntese: controle, poda e restrições</t>
  </si>
  <si>
    <t xml:space="preserve">Tabela: busca cega, corte, propagação e ASP</t>
  </si>
  <si>
    <t xml:space="preserve">Erros frequentes com corte e negação</t>
  </si>
  <si>
    <t xml:space="preserve">Ponte para a Aula 14: vários fluxos ao mesmo tempo</t>
  </si>
  <si>
    <t xml:space="preserve">Lançamento do Trabalho 5</t>
  </si>
  <si>
    <t xml:space="preserve">Aula 14 — Concorrência I: memória compartilhada</t>
  </si>
  <si>
    <t xml:space="preserve">Objetivos de aprendizagem da Aula 14</t>
  </si>
  <si>
    <t xml:space="preserve">Recapitulação: estado mutável e seus riscos</t>
  </si>
  <si>
    <t xml:space="preserve">Quiz da leitura prévia sobre threads</t>
  </si>
  <si>
    <t xml:space="preserve">Provocação: o fim do almoço grátis do clock</t>
  </si>
  <si>
    <t xml:space="preserve">Concorrência e paralelismo: definições que nao se confundem</t>
  </si>
  <si>
    <t xml:space="preserve">Processos, threads e corrotinas</t>
  </si>
  <si>
    <t xml:space="preserve">Escalonamento preemptivo e cooperativo</t>
  </si>
  <si>
    <t xml:space="preserve">O GIL do Python e o que ele realmente impede</t>
  </si>
  <si>
    <t xml:space="preserve">Entrelaçamento de instruções e nao determinismo</t>
  </si>
  <si>
    <t xml:space="preserve">Condição de corrida: anatomia do contador quebrado</t>
  </si>
  <si>
    <t xml:space="preserve">Atomicidade, visibilidade e ordenação</t>
  </si>
  <si>
    <t xml:space="preserve">Modelos de memória e reordenação de instruções</t>
  </si>
  <si>
    <t xml:space="preserve">Exclusão mútua: locks e seções críticas</t>
  </si>
  <si>
    <t xml:space="preserve">Semáforos, monitores e variáveis de condição</t>
  </si>
  <si>
    <t xml:space="preserve">Deadlock: as quatro condições de Coffman</t>
  </si>
  <si>
    <t xml:space="preserve">Livelock, starvation e inversão de prioridade</t>
  </si>
  <si>
    <t xml:space="preserve">Estratégias de prevenção e detecção de deadlock</t>
  </si>
  <si>
    <t xml:space="preserve">Granularidade de lock e contenção</t>
  </si>
  <si>
    <t xml:space="preserve">Estruturas de dados sem lock e operações atômicas</t>
  </si>
  <si>
    <t xml:space="preserve">Memória transacional de software: a ideia</t>
  </si>
  <si>
    <t xml:space="preserve">STM: transações, conflitos e retentativas</t>
  </si>
  <si>
    <t xml:space="preserve">Onde STM ganha e onde perde para locks</t>
  </si>
  <si>
    <t xml:space="preserve">Imutabilidade como estratégia de concorrência</t>
  </si>
  <si>
    <t xml:space="preserve">Como testar código concorrente</t>
  </si>
  <si>
    <t xml:space="preserve">Código 1 no Colab: contador com corrida e histograma de resultados</t>
  </si>
  <si>
    <t xml:space="preserve">Código 2 no Colab: correção com lock e gráfico de contenção</t>
  </si>
  <si>
    <t xml:space="preserve">Código 3 no Colab: deadlock reproduzido e diagrama de espera circular</t>
  </si>
  <si>
    <t xml:space="preserve">Leitura dos gráficos: dispersão dos resultados sem sincronização</t>
  </si>
  <si>
    <t xml:space="preserve">Laboratório: reprodução e correção de race conditions</t>
  </si>
  <si>
    <t xml:space="preserve">Laboratório: medir o custo da sincronização</t>
  </si>
  <si>
    <t xml:space="preserve">Como relatar experimentos nao determinísticos</t>
  </si>
  <si>
    <t xml:space="preserve">Síntese: corrida, exclusão mútua e deadlock</t>
  </si>
  <si>
    <t xml:space="preserve">Tabela: lock, atômico e STM comparados</t>
  </si>
  <si>
    <t xml:space="preserve">Erros frequentes ao paralelizar</t>
  </si>
  <si>
    <t xml:space="preserve">Ponte para a Aula 15: concorrência sem memória compartilhada</t>
  </si>
  <si>
    <t xml:space="preserve">Entrega do Trabalho 5 (1,0)</t>
  </si>
  <si>
    <t xml:space="preserve">Aula 15 — Concorrência II: troca de mensagens</t>
  </si>
  <si>
    <t xml:space="preserve">Objetivos de aprendizagem da Aula 15</t>
  </si>
  <si>
    <t xml:space="preserve">Recapitulação: locks, deadlock e STM</t>
  </si>
  <si>
    <t xml:space="preserve">Quiz da leitura prévia sobre atores</t>
  </si>
  <si>
    <t xml:space="preserve">Provocação: e se nenhum estado fosse compartilhado?</t>
  </si>
  <si>
    <t xml:space="preserve">Isolamento de estado como princípio de projeto</t>
  </si>
  <si>
    <t xml:space="preserve">Modelo de atores: identidade, caixa postal e comportamento</t>
  </si>
  <si>
    <t xml:space="preserve">As três ações de um ator segundo Hewitt</t>
  </si>
  <si>
    <t xml:space="preserve">Envio assíncrono e garantias de entrega</t>
  </si>
  <si>
    <t xml:space="preserve">Ordenação de mensagens entre pares de atores</t>
  </si>
  <si>
    <t xml:space="preserve">Estado interno do ator e evolução do comportamento</t>
  </si>
  <si>
    <t xml:space="preserve">Processos leves em Elixir e o escalonador da BEAM</t>
  </si>
  <si>
    <t xml:space="preserve">CSP: canais, rendezvous e sincronização</t>
  </si>
  <si>
    <t xml:space="preserve">Goroutines e canais em Go</t>
  </si>
  <si>
    <t xml:space="preserve">Canais com e sem buffer</t>
  </si>
  <si>
    <t xml:space="preserve">select, timeouts e cancelamento</t>
  </si>
  <si>
    <t xml:space="preserve">Atores e CSP: acoplamento em nomes ou em canais</t>
  </si>
  <si>
    <t xml:space="preserve">Padrões: pipeline, fan-in, fan-out e worker pool</t>
  </si>
  <si>
    <t xml:space="preserve">Backpressure e filas que crescem sem controle</t>
  </si>
  <si>
    <t xml:space="preserve">Supervisão: árvores de supervisores</t>
  </si>
  <si>
    <t xml:space="preserve">Filosofia let it crash e recuperação por reinício</t>
  </si>
  <si>
    <t xml:space="preserve">Estratégias one_for_one, one_for_all e rest_for_one</t>
  </si>
  <si>
    <t xml:space="preserve">Tolerância a falhas e sistemas de longa duração</t>
  </si>
  <si>
    <t xml:space="preserve">Distribuição: quando a mensagem cruza a rede</t>
  </si>
  <si>
    <t xml:space="preserve">Limites: nao determinismo, depuração e observabilidade</t>
  </si>
  <si>
    <t xml:space="preserve">Código 1 no Colab: modelo de atores implementado com filas</t>
  </si>
  <si>
    <t xml:space="preserve">Código 2 no Colab: pipeline CSP com canais e gráfico de vazão</t>
  </si>
  <si>
    <t xml:space="preserve">Código 3 no Colab: supervisor com reinício e linha do tempo dos processos</t>
  </si>
  <si>
    <t xml:space="preserve">Leitura dos gráficos: vazão, latência e efeito do backpressure</t>
  </si>
  <si>
    <t xml:space="preserve">Laboratório: sistema concorrente em Elixir e em Go</t>
  </si>
  <si>
    <t xml:space="preserve">Laboratório: introduzir uma falha e observar a supervisão</t>
  </si>
  <si>
    <t xml:space="preserve">Como comparar as duas implementações</t>
  </si>
  <si>
    <t xml:space="preserve">Síntese: isolamento, mensagens e supervisão</t>
  </si>
  <si>
    <t xml:space="preserve">Tabela: threads e locks, atores e CSP</t>
  </si>
  <si>
    <t xml:space="preserve">Erros frequentes com filas e canais</t>
  </si>
  <si>
    <t xml:space="preserve">Ponte para a Aula 16: programas que escrevem programas</t>
  </si>
  <si>
    <t xml:space="preserve">Lançamento do Trabalho 6</t>
  </si>
  <si>
    <t xml:space="preserve">Aula 16 — Metaprogramação e paradigmas emergentes</t>
  </si>
  <si>
    <t xml:space="preserve">Objetivos de aprendizagem da Aula 16</t>
  </si>
  <si>
    <t xml:space="preserve">Recapitulação: atores, canais e supervisão</t>
  </si>
  <si>
    <t xml:space="preserve">Quiz da leitura prévia sobre macros</t>
  </si>
  <si>
    <t xml:space="preserve">Provocação: quando a linguagem que você tem nao é a que precisa</t>
  </si>
  <si>
    <t xml:space="preserve">Metaprogramação: programas que manipulam programas</t>
  </si>
  <si>
    <t xml:space="preserve">Reflexão: introspecção e intercessão</t>
  </si>
  <si>
    <t xml:space="preserve">Metaprogramação em tempo de compilação e de execução</t>
  </si>
  <si>
    <t xml:space="preserve">Homoiconicidade: código como dado</t>
  </si>
  <si>
    <t xml:space="preserve">Macros em Lisp e Racket: transformação de sintaxe</t>
  </si>
  <si>
    <t xml:space="preserve">Higiene de macros e captura acidental de nomes</t>
  </si>
  <si>
    <t xml:space="preserve">Metaprogramação em Python: decoradores e metaclasses</t>
  </si>
  <si>
    <t xml:space="preserve">Geração de código: benefícios e dívida técnica</t>
  </si>
  <si>
    <t xml:space="preserve">Linguagens específicas de domínio: internas e externas</t>
  </si>
  <si>
    <t xml:space="preserve">Projetando uma DSL: vocabulário do especialista</t>
  </si>
  <si>
    <t xml:space="preserve">Quando uma DSL compensa o custo de manutenção</t>
  </si>
  <si>
    <t xml:space="preserve">Paradigma reativo: fluxos, observáveis e propagação</t>
  </si>
  <si>
    <t xml:space="preserve">Programação orientada a arrays: pensar em vetores</t>
  </si>
  <si>
    <t xml:space="preserve">NumPy e vetorização: laços que desaparecem</t>
  </si>
  <si>
    <t xml:space="preserve">Programação probabilística: modelos como programas</t>
  </si>
  <si>
    <t xml:space="preserve">Inferência como execução do programa probabilístico</t>
  </si>
  <si>
    <t xml:space="preserve">Programação diferenciável: gradientes automáticos</t>
  </si>
  <si>
    <t xml:space="preserve">JAX: grad, jit e vmap como transformações de programa</t>
  </si>
  <si>
    <t xml:space="preserve">Programação assistida por LLM: o que muda e o que nao muda</t>
  </si>
  <si>
    <t xml:space="preserve">Limites da programação em linguagem natural e responsabilidade do autor</t>
  </si>
  <si>
    <t xml:space="preserve">Código 1 no Colab: macro e reescrita de AST com o módulo ast</t>
  </si>
  <si>
    <t xml:space="preserve">Código 2 no Colab: laço, NumPy e vetorização com gráfico de desempenho</t>
  </si>
  <si>
    <t xml:space="preserve">Código 3 no Colab: diferenciação automática e superfície de perda plotada</t>
  </si>
  <si>
    <t xml:space="preserve">Leitura dos gráficos: ganho da vetorização e caminho do gradiente</t>
  </si>
  <si>
    <t xml:space="preserve">Laboratório: macros em Racket e experimentos com NumPy/JAX</t>
  </si>
  <si>
    <t xml:space="preserve">Laboratório: construir uma mini-DSL para um domínio real</t>
  </si>
  <si>
    <t xml:space="preserve">Como documentar uma DSL para quem nao é programador</t>
  </si>
  <si>
    <t xml:space="preserve">Síntese multiparadigma do semestre em uma página</t>
  </si>
  <si>
    <t xml:space="preserve">Tabela: seis paradigmas e seus critérios de escolha</t>
  </si>
  <si>
    <t xml:space="preserve">Erros frequentes com metaprogramação</t>
  </si>
  <si>
    <t xml:space="preserve">Ponte para a Aula 17: seminários e projeto final</t>
  </si>
  <si>
    <t xml:space="preserve">Entrega do Trabalho 6 (1,0)</t>
  </si>
  <si>
    <t xml:space="preserve">Aula 17 — Seminários do Trabalho de Apresentação 2</t>
  </si>
  <si>
    <t xml:space="preserve">Regras da sessão e rubrica de avaliação</t>
  </si>
  <si>
    <t xml:space="preserve">Bloco 1: projetos de interpretador</t>
  </si>
  <si>
    <t xml:space="preserve">Bloco 2: estudos aprofundados de linguagem</t>
  </si>
  <si>
    <t xml:space="preserve">Bloco 3: projetos multiparadigma</t>
  </si>
  <si>
    <t xml:space="preserve">Painel: o que cada projeto revelou sobre paradigmas</t>
  </si>
  <si>
    <t xml:space="preserve">Síntese multiparadigma do semestre</t>
  </si>
  <si>
    <t xml:space="preserve">Critérios de escolha de paradigma por classe de problema</t>
  </si>
  <si>
    <t xml:space="preserve">Revisão integrada das Aulas 11 a 16</t>
  </si>
  <si>
    <t xml:space="preserve">Mapa conceitual do bloco G2</t>
  </si>
  <si>
    <t xml:space="preserve">Questões-modelo da Prova G2</t>
  </si>
  <si>
    <t xml:space="preserve">Formato e distribuição de pontos da Prova G2</t>
  </si>
  <si>
    <t xml:space="preserve">Erros conceituais recorrentes</t>
  </si>
  <si>
    <t xml:space="preserve">Orientações finais para a Prova G2</t>
  </si>
  <si>
    <t xml:space="preserve">Encerramento e referências para estudo continuado</t>
  </si>
  <si>
    <t xml:space="preserve">Aula 19 — Plantão de dúvidas</t>
  </si>
  <si>
    <t xml:space="preserve">Como funciona o plantão: fila de tópicos</t>
  </si>
  <si>
    <t xml:space="preserve">Mapa geral das Aulas 1 a 17</t>
  </si>
  <si>
    <t xml:space="preserve">Revisão relâmpago: paradigmas e taxonomia</t>
  </si>
  <si>
    <t xml:space="preserve">Revisão relâmpago: gramáticas e semântica</t>
  </si>
  <si>
    <t xml:space="preserve">Revisão relâmpago: cálculo lambda e closures</t>
  </si>
  <si>
    <t xml:space="preserve">Revisão relâmpago: funcional</t>
  </si>
  <si>
    <t xml:space="preserve">Revisão relâmpago: interpretadores e imperativo</t>
  </si>
  <si>
    <t xml:space="preserve">Revisão relâmpago: tipos e abstração</t>
  </si>
  <si>
    <t xml:space="preserve">Revisão relâmpago: orientação a objetos</t>
  </si>
  <si>
    <t xml:space="preserve">Revisão relâmpago: lógico</t>
  </si>
  <si>
    <t xml:space="preserve">Revisão relâmpago: concorrência</t>
  </si>
  <si>
    <t xml:space="preserve">Revisão relâmpago: metaprogramação e emergentes</t>
  </si>
  <si>
    <t xml:space="preserve">Resolução comentada de questões da Prova G1</t>
  </si>
  <si>
    <t xml:space="preserve">Resolução comentada de questões da Prova G2</t>
  </si>
  <si>
    <t xml:space="preserve">Erros mais frequentes nas duas provas</t>
  </si>
  <si>
    <t xml:space="preserve">Simulado rápido de 10 questões</t>
  </si>
  <si>
    <t xml:space="preserve">Correção comentada do simulado</t>
  </si>
  <si>
    <t xml:space="preserve">NOTEBOOKS DO GOOGLE COLAB — 3 por encontro de conteúdo</t>
  </si>
  <si>
    <t xml:space="preserve">Todos os notebooks rodam em Python no Colab sem instalação local. Cada um termina com pelo menos um gráfico comentado em aula.</t>
  </si>
  <si>
    <t xml:space="preserve">Código</t>
  </si>
  <si>
    <t xml:space="preserve">Título do notebook</t>
  </si>
  <si>
    <t xml:space="preserve">Objetivo pedagógico</t>
  </si>
  <si>
    <t xml:space="preserve">Bibliotecas</t>
  </si>
  <si>
    <t xml:space="preserve">Gráfico produzido</t>
  </si>
  <si>
    <t xml:space="preserve">Arquivo</t>
  </si>
  <si>
    <t xml:space="preserve">Slides da demo</t>
  </si>
  <si>
    <t xml:space="preserve">Código 1</t>
  </si>
  <si>
    <t xml:space="preserve">Um problema, quatro estilos</t>
  </si>
  <si>
    <t xml:space="preserve">Resolver a soma de quadrados pares em estilo imperativo, funcional, OO e declarativo, medindo linhas e tempo</t>
  </si>
  <si>
    <t xml:space="preserve">time, matplotlib</t>
  </si>
  <si>
    <t xml:space="preserve">Barras agrupadas: linhas de código x tempo de execução por estilo</t>
  </si>
  <si>
    <t xml:space="preserve">aula01_codigo1.ipynb</t>
  </si>
  <si>
    <t xml:space="preserve">23-25</t>
  </si>
  <si>
    <t xml:space="preserve">Código 2</t>
  </si>
  <si>
    <t xml:space="preserve">Mapa de paradigmas de Van Roy</t>
  </si>
  <si>
    <t xml:space="preserve">Posicionar linguagens em dois eixos (estado observável e concorrência) a partir de uma tabela de atributos</t>
  </si>
  <si>
    <t xml:space="preserve">pandas, matplotlib</t>
  </si>
  <si>
    <t xml:space="preserve">Dispersão anotada com as linguagens do semestre</t>
  </si>
  <si>
    <t xml:space="preserve">aula01_codigo2.ipynb</t>
  </si>
  <si>
    <t xml:space="preserve">26-28</t>
  </si>
  <si>
    <t xml:space="preserve">Código 3</t>
  </si>
  <si>
    <t xml:space="preserve">Perfil de recursos por linguagem</t>
  </si>
  <si>
    <t xml:space="preserve">Comparar suporte a closures, imutabilidade, tipos algébricos, macros e atores em seis linguagens</t>
  </si>
  <si>
    <t xml:space="preserve">Mapa de calor de recursos por linguagem</t>
  </si>
  <si>
    <t xml:space="preserve">aula01_codigo3.ipynb</t>
  </si>
  <si>
    <t xml:space="preserve">29-30</t>
  </si>
  <si>
    <t xml:space="preserve">Do texto à AST</t>
  </si>
  <si>
    <t xml:space="preserve">Implementar tokenizador e parser recursivo descendente de expressões aritméticas e desenhar a AST</t>
  </si>
  <si>
    <t xml:space="preserve">re, networkx, matplotlib</t>
  </si>
  <si>
    <t xml:space="preserve">Grafo hierárquico da árvore sintática</t>
  </si>
  <si>
    <t xml:space="preserve">aula02_codigo1.ipynb</t>
  </si>
  <si>
    <t xml:space="preserve">Custo do parsing</t>
  </si>
  <si>
    <t xml:space="preserve">Medir tempo de parsing e profundidade da AST para expressões de tamanho crescente</t>
  </si>
  <si>
    <t xml:space="preserve">Duas curvas: tempo e profundidade x tamanho da entrada</t>
  </si>
  <si>
    <t xml:space="preserve">aula02_codigo2.ipynb</t>
  </si>
  <si>
    <t xml:space="preserve">Gerador de sentenças a partir da EBNF</t>
  </si>
  <si>
    <t xml:space="preserve">Gerar sentenças válidas aleatórias de uma gramática e medir a distribuição de tamanhos</t>
  </si>
  <si>
    <t xml:space="preserve">random, matplotlib</t>
  </si>
  <si>
    <t xml:space="preserve">Histograma dos tamanhos das sentenças geradas</t>
  </si>
  <si>
    <t xml:space="preserve">aula02_codigo3.ipynb</t>
  </si>
  <si>
    <t xml:space="preserve">Interpretador de cálculo lambda</t>
  </si>
  <si>
    <t xml:space="preserve">Implementar alfa-conversão, beta-redução e formas normais com contagem de passos</t>
  </si>
  <si>
    <t xml:space="preserve">dataclasses, matplotlib</t>
  </si>
  <si>
    <t xml:space="preserve">Barras: número de reduções por termo avaliado</t>
  </si>
  <si>
    <t xml:space="preserve">aula03_codigo1.ipynb</t>
  </si>
  <si>
    <t xml:space="preserve">Ordem normal x ordem aplicativa</t>
  </si>
  <si>
    <t xml:space="preserve">Comparar as duas estratégias em termos que divergem e que convergem</t>
  </si>
  <si>
    <t xml:space="preserve">matplotlib</t>
  </si>
  <si>
    <t xml:space="preserve">Linhas: passos até a forma normal por estratégia</t>
  </si>
  <si>
    <t xml:space="preserve">aula03_codigo2.ipynb</t>
  </si>
  <si>
    <t xml:space="preserve">Closures e ambientes</t>
  </si>
  <si>
    <t xml:space="preserve">Construir contadores e fábricas de funções, inspecionando as células capturadas</t>
  </si>
  <si>
    <t xml:space="preserve">inspect, matplotlib</t>
  </si>
  <si>
    <t xml:space="preserve">Diagrama de barras empilhadas do ambiente capturado por closure</t>
  </si>
  <si>
    <t xml:space="preserve">aula03_codigo3.ipynb</t>
  </si>
  <si>
    <t xml:space="preserve">Refatoração imperativa para funcional</t>
  </si>
  <si>
    <t xml:space="preserve">Reescrever três algoritmos com map, filter e reduce mantendo os testes verdes</t>
  </si>
  <si>
    <t xml:space="preserve">functools, timeit, matplotlib</t>
  </si>
  <si>
    <t xml:space="preserve">Barras: linhas, mutações e tempo antes e depois</t>
  </si>
  <si>
    <t xml:space="preserve">aula04_codigo1.ipynb</t>
  </si>
  <si>
    <t xml:space="preserve">Recursão, cauda e pilha</t>
  </si>
  <si>
    <t xml:space="preserve">Comparar recursão simples, com acumulador e versão iterativa até o limite de pilha</t>
  </si>
  <si>
    <t xml:space="preserve">sys, matplotlib</t>
  </si>
  <si>
    <t xml:space="preserve">Curva de profundidade de pilha x tamanho da entrada</t>
  </si>
  <si>
    <t xml:space="preserve">aula04_codigo2.ipynb</t>
  </si>
  <si>
    <t xml:space="preserve">Pipeline de dados funcional</t>
  </si>
  <si>
    <t xml:space="preserve">Construir um pipeline preguiçoso com geradores e medir memória contra a versão em listas</t>
  </si>
  <si>
    <t xml:space="preserve">itertools, tracemalloc, matplotlib</t>
  </si>
  <si>
    <t xml:space="preserve">Duas curvas de memória: lista x gerador</t>
  </si>
  <si>
    <t xml:space="preserve">aula04_codigo3.ipynb</t>
  </si>
  <si>
    <t xml:space="preserve">ADTs e pattern matching</t>
  </si>
  <si>
    <t xml:space="preserve">Modelar um domínio com dataclasses e Union, avaliando com match estruturado</t>
  </si>
  <si>
    <t xml:space="preserve">dataclasses, typing, matplotlib</t>
  </si>
  <si>
    <t xml:space="preserve">Barras: ramos cobertos e estados inválidos eliminados</t>
  </si>
  <si>
    <t xml:space="preserve">aula05_codigo1.ipynb</t>
  </si>
  <si>
    <t xml:space="preserve">Preguiça e memoização</t>
  </si>
  <si>
    <t xml:space="preserve">Comparar Fibonacci ingênuo, memoizado e preguiçoso, contando chamadas evitadas</t>
  </si>
  <si>
    <t xml:space="preserve">functools, matplotlib</t>
  </si>
  <si>
    <t xml:space="preserve">Barras logarítmicas de chamadas por estratégia</t>
  </si>
  <si>
    <t xml:space="preserve">aula05_codigo2.ipynb</t>
  </si>
  <si>
    <t xml:space="preserve">Currying e composição</t>
  </si>
  <si>
    <t xml:space="preserve">Construir funções curried e compor um avaliador de expressões</t>
  </si>
  <si>
    <t xml:space="preserve">Grafo da árvore de expressão com os valores avaliados</t>
  </si>
  <si>
    <t xml:space="preserve">aula05_codigo3.ipynb</t>
  </si>
  <si>
    <t xml:space="preserve">Interpretador de expressões</t>
  </si>
  <si>
    <t xml:space="preserve">Implementar eval e apply com ambiente encadeado para uma mini-linguagem</t>
  </si>
  <si>
    <t xml:space="preserve">dataclasses</t>
  </si>
  <si>
    <t xml:space="preserve">Tabela de avaliação passo a passo e gráfico de nós avaliados</t>
  </si>
  <si>
    <t xml:space="preserve">aula06_codigo1.ipynb</t>
  </si>
  <si>
    <t xml:space="preserve">Funções de primeira classe no interpretador</t>
  </si>
  <si>
    <t xml:space="preserve">Acrescentar lambda, chamada e closures preservando escopo estático</t>
  </si>
  <si>
    <t xml:space="preserve">Diagrama da cadeia de ambientes</t>
  </si>
  <si>
    <t xml:space="preserve">aula06_codigo2.ipynb</t>
  </si>
  <si>
    <t xml:space="preserve">Rastreamento da avaliação</t>
  </si>
  <si>
    <t xml:space="preserve">Instrumentar o interpretador para registrar a pilha de avaliação ao longo do tempo</t>
  </si>
  <si>
    <t xml:space="preserve">Gráfico de área da profundidade da pilha ao longo da execução</t>
  </si>
  <si>
    <t xml:space="preserve">aula06_codigo3.ipynb</t>
  </si>
  <si>
    <t xml:space="preserve">Aliasing e cópias</t>
  </si>
  <si>
    <t xml:space="preserve">Demonstrar aliasing, cópia rasa e cópia profunda com identidade de objetos</t>
  </si>
  <si>
    <t xml:space="preserve">copy, networkx, matplotlib</t>
  </si>
  <si>
    <t xml:space="preserve">Grafo de referências entre nomes e objetos</t>
  </si>
  <si>
    <t xml:space="preserve">aula07_codigo1.ipynb</t>
  </si>
  <si>
    <t xml:space="preserve">Interpretador com estado</t>
  </si>
  <si>
    <t xml:space="preserve">Acrescentar atribuição, store e laços à etapa 1 do projeto</t>
  </si>
  <si>
    <t xml:space="preserve">Linha do tempo dos valores das variáveis durante a execução</t>
  </si>
  <si>
    <t xml:space="preserve">aula07_codigo2.ipynb</t>
  </si>
  <si>
    <t xml:space="preserve">Memória e coleta de lixo</t>
  </si>
  <si>
    <t xml:space="preserve">Observar contagem de referências, ciclos e o efeito do coletor</t>
  </si>
  <si>
    <t xml:space="preserve">gc, tracemalloc, matplotlib</t>
  </si>
  <si>
    <t xml:space="preserve">Curva de memória alocada com marcas das coletas</t>
  </si>
  <si>
    <t xml:space="preserve">aula07_codigo3.ipynb</t>
  </si>
  <si>
    <t xml:space="preserve">Inferência de tipos por unificação</t>
  </si>
  <si>
    <t xml:space="preserve">Implementar unificação de tipos e inferir o tipo de expressões simples</t>
  </si>
  <si>
    <t xml:space="preserve">Grafo das substituições de variáveis de tipo</t>
  </si>
  <si>
    <t xml:space="preserve">aula08_codigo1.ipynb</t>
  </si>
  <si>
    <t xml:space="preserve">Três implementações do mesmo TAD</t>
  </si>
  <si>
    <t xml:space="preserve">Implementar uma pilha com closures, com classe e com módulo, comparando garantias</t>
  </si>
  <si>
    <t xml:space="preserve">abc, matplotlib</t>
  </si>
  <si>
    <t xml:space="preserve">Barras: acoplamento, ocultação e desempenho por implementação</t>
  </si>
  <si>
    <t xml:space="preserve">aula08_codigo2.ipynb</t>
  </si>
  <si>
    <t xml:space="preserve">Erros capturados por camada</t>
  </si>
  <si>
    <t xml:space="preserve">Executar uma bateria de erros contra tipagem dinâmica, hints com mypy e contratos</t>
  </si>
  <si>
    <t xml:space="preserve">typing, matplotlib</t>
  </si>
  <si>
    <t xml:space="preserve">Barras empilhadas de erros capturados por camada</t>
  </si>
  <si>
    <t xml:space="preserve">aula08_codigo3.ipynb</t>
  </si>
  <si>
    <t xml:space="preserve">Objetos com closures</t>
  </si>
  <si>
    <t xml:space="preserve">Implementar despacho dinâmico sem class, apenas com funções e dicionários</t>
  </si>
  <si>
    <t xml:space="preserve">Barras: tempo de despacho por implementação</t>
  </si>
  <si>
    <t xml:space="preserve">aula11_codigo1.ipynb</t>
  </si>
  <si>
    <t xml:space="preserve">Objeto, dicionário e classe</t>
  </si>
  <si>
    <t xml:space="preserve">Comparar custo de acesso, memória e flexibilidade das três representações</t>
  </si>
  <si>
    <t xml:space="preserve">sys, timeit, matplotlib</t>
  </si>
  <si>
    <t xml:space="preserve">Dispersão: tempo x memória por representação</t>
  </si>
  <si>
    <t xml:space="preserve">aula11_codigo2.ipynb</t>
  </si>
  <si>
    <t xml:space="preserve">MRO e linearização C3</t>
  </si>
  <si>
    <t xml:space="preserve">Construir hierarquias com diamante e visualizar a ordem de resolução</t>
  </si>
  <si>
    <t xml:space="preserve">networkx, matplotlib</t>
  </si>
  <si>
    <t xml:space="preserve">Grafo da hierarquia com a ordem do MRO destacada</t>
  </si>
  <si>
    <t xml:space="preserve">aula11_codigo3.ipynb</t>
  </si>
  <si>
    <t xml:space="preserve">Unificação em Python</t>
  </si>
  <si>
    <t xml:space="preserve">Implementar o algoritmo de unificação com substituições e occurs check</t>
  </si>
  <si>
    <t xml:space="preserve">Tabela de unificadores e gráfico de termos unificados por tentativa</t>
  </si>
  <si>
    <t xml:space="preserve">aula12_codigo1.ipynb</t>
  </si>
  <si>
    <t xml:space="preserve">Mini-Prolog com resolução SLD</t>
  </si>
  <si>
    <t xml:space="preserve">Construir um motor de inferência com cláusulas de Horn e busca em profundidade</t>
  </si>
  <si>
    <t xml:space="preserve">Árvore de busca SLD com ramos de sucesso e falha coloridos</t>
  </si>
  <si>
    <t xml:space="preserve">aula12_codigo2.ipynb</t>
  </si>
  <si>
    <t xml:space="preserve">Base de conhecimento genealógica</t>
  </si>
  <si>
    <t xml:space="preserve">Modelar relações familiares e consultar em múltiplas direções</t>
  </si>
  <si>
    <t xml:space="preserve">Grafo das relações inferidas</t>
  </si>
  <si>
    <t xml:space="preserve">aula12_codigo3.ipynb</t>
  </si>
  <si>
    <t xml:space="preserve">Backtracking explícito</t>
  </si>
  <si>
    <t xml:space="preserve">Implementar busca com retrocesso e instrumentar cada ponto de escolha</t>
  </si>
  <si>
    <t xml:space="preserve">Árvore de busca com nós podados destacados</t>
  </si>
  <si>
    <t xml:space="preserve">aula13_codigo1.ipynb</t>
  </si>
  <si>
    <t xml:space="preserve">N rainhas com restrições</t>
  </si>
  <si>
    <t xml:space="preserve">Comparar geração e teste com propagação de restrições</t>
  </si>
  <si>
    <t xml:space="preserve">python-constraint, matplotlib</t>
  </si>
  <si>
    <t xml:space="preserve">Curva de nós explorados x N para as duas estratégias</t>
  </si>
  <si>
    <t xml:space="preserve">aula13_codigo2.ipynb</t>
  </si>
  <si>
    <t xml:space="preserve">Efeito do corte e da propagação</t>
  </si>
  <si>
    <t xml:space="preserve">Medir a redução da árvore de busca ao introduzir corte e propagação</t>
  </si>
  <si>
    <t xml:space="preserve">Barras logarítmicas de nós visitados por estratégia</t>
  </si>
  <si>
    <t xml:space="preserve">aula13_codigo3.ipynb</t>
  </si>
  <si>
    <t xml:space="preserve">O contador quebrado</t>
  </si>
  <si>
    <t xml:space="preserve">Reproduzir uma condição de corrida com múltiplas threads e repetições</t>
  </si>
  <si>
    <t xml:space="preserve">threading, matplotlib</t>
  </si>
  <si>
    <t xml:space="preserve">Histograma dos valores finais do contador</t>
  </si>
  <si>
    <t xml:space="preserve">aula14_codigo1.ipynb</t>
  </si>
  <si>
    <t xml:space="preserve">Custo da sincronização</t>
  </si>
  <si>
    <t xml:space="preserve">Corrigir com lock e medir contenção conforme o número de threads</t>
  </si>
  <si>
    <t xml:space="preserve">threading, time, matplotlib</t>
  </si>
  <si>
    <t xml:space="preserve">Curvas de tempo total x número de threads, com e sem lock</t>
  </si>
  <si>
    <t xml:space="preserve">aula14_codigo2.ipynb</t>
  </si>
  <si>
    <t xml:space="preserve">Deadlock reproduzido</t>
  </si>
  <si>
    <t xml:space="preserve">Provocar espera circular com dois locks e detectar o impasse por timeout</t>
  </si>
  <si>
    <t xml:space="preserve">threading, networkx, matplotlib</t>
  </si>
  <si>
    <t xml:space="preserve">Grafo de espera circular entre threads e recursos</t>
  </si>
  <si>
    <t xml:space="preserve">aula14_codigo3.ipynb</t>
  </si>
  <si>
    <t xml:space="preserve">Atores com filas</t>
  </si>
  <si>
    <t xml:space="preserve">Implementar caixa postal, comportamento e envio assíncrono sem estado compartilhado</t>
  </si>
  <si>
    <t xml:space="preserve">queue, threading, matplotlib</t>
  </si>
  <si>
    <t xml:space="preserve">Linha do tempo das mensagens trocadas entre atores</t>
  </si>
  <si>
    <t xml:space="preserve">aula15_codigo1.ipynb</t>
  </si>
  <si>
    <t xml:space="preserve">Pipeline CSP</t>
  </si>
  <si>
    <t xml:space="preserve">Montar produtor, trabalhadores e consumidor com canais limitados</t>
  </si>
  <si>
    <t xml:space="preserve">Curvas de vazão e ocupação da fila ao longo do tempo</t>
  </si>
  <si>
    <t xml:space="preserve">aula15_codigo2.ipynb</t>
  </si>
  <si>
    <t xml:space="preserve">Supervisão e let it crash</t>
  </si>
  <si>
    <t xml:space="preserve">Fazer um ator falhar e observar a política de reinício do supervisor</t>
  </si>
  <si>
    <t xml:space="preserve">Diagrama de Gantt com falhas e reinícios dos processos</t>
  </si>
  <si>
    <t xml:space="preserve">aula15_codigo3.ipynb</t>
  </si>
  <si>
    <t xml:space="preserve">Reescrita de AST em Python</t>
  </si>
  <si>
    <t xml:space="preserve">Usar o módulo ast para transformar código antes da execução, no espírito das macros</t>
  </si>
  <si>
    <t xml:space="preserve">ast, inspect</t>
  </si>
  <si>
    <t xml:space="preserve">Comparação lado a lado das árvores antes e depois</t>
  </si>
  <si>
    <t xml:space="preserve">aula16_codigo1.ipynb</t>
  </si>
  <si>
    <t xml:space="preserve">Vetorização com NumPy</t>
  </si>
  <si>
    <t xml:space="preserve">Comparar laço puro, list comprehension e operação vetorizada</t>
  </si>
  <si>
    <t xml:space="preserve">numpy, timeit, matplotlib</t>
  </si>
  <si>
    <t xml:space="preserve">Curvas de tempo x tamanho do vetor, escala logarítmica</t>
  </si>
  <si>
    <t xml:space="preserve">aula16_codigo2.ipynb</t>
  </si>
  <si>
    <t xml:space="preserve">Diferenciação automática</t>
  </si>
  <si>
    <t xml:space="preserve">Implementar autodiff reverso simples e comparar com gradiente numérico</t>
  </si>
  <si>
    <t xml:space="preserve">numpy, matplotlib</t>
  </si>
  <si>
    <t xml:space="preserve">Superfície de perda com o caminho da descida do gradiente</t>
  </si>
  <si>
    <t xml:space="preserve">aula16_codigo3.ipynb</t>
  </si>
  <si>
    <t xml:space="preserve">TRABALHOS, SEMINÁRIOS E PROVAS</t>
  </si>
  <si>
    <t xml:space="preserve">Seis laboratórios individuais de 1,0, dois trabalhos de apresentação de 3,0 e três provas de 4,0.</t>
  </si>
  <si>
    <t xml:space="preserve">Instrumento</t>
  </si>
  <si>
    <t xml:space="preserve">Pontos</t>
  </si>
  <si>
    <t xml:space="preserve">Lançamento (aula)</t>
  </si>
  <si>
    <t xml:space="preserve">Entrega (aula)</t>
  </si>
  <si>
    <t xml:space="preserve">Descrição</t>
  </si>
  <si>
    <t xml:space="preserve">Formato</t>
  </si>
  <si>
    <t xml:space="preserve">Produto esperado</t>
  </si>
  <si>
    <t xml:space="preserve">T1</t>
  </si>
  <si>
    <t xml:space="preserve">Laboratório 1</t>
  </si>
  <si>
    <t xml:space="preserve">Gramática EBNF e avaliador recursivo de uma mini-linguagem</t>
  </si>
  <si>
    <t xml:space="preserve">Individual</t>
  </si>
  <si>
    <t xml:space="preserve">Notebook Colab + arquivo .ebnf</t>
  </si>
  <si>
    <t xml:space="preserve">T2</t>
  </si>
  <si>
    <t xml:space="preserve">Laboratório 2</t>
  </si>
  <si>
    <t xml:space="preserve">Refatoração de algoritmo imperativo para estilo funcional puro, com análise comparativa</t>
  </si>
  <si>
    <t xml:space="preserve">Notebook Colab com testes e gráficos</t>
  </si>
  <si>
    <t xml:space="preserve">T3</t>
  </si>
  <si>
    <t xml:space="preserve">Laboratório 3</t>
  </si>
  <si>
    <t xml:space="preserve">Etapa 1 do interpretador: expressões, ambientes e funções de primeira classe</t>
  </si>
  <si>
    <t xml:space="preserve">Repositório com testes</t>
  </si>
  <si>
    <t xml:space="preserve">TA1</t>
  </si>
  <si>
    <t xml:space="preserve">Trabalho de Apresentação 1</t>
  </si>
  <si>
    <t xml:space="preserve">Mesmo problema resolvido em, no mínimo, três paradigmas distintos, com defesa oral</t>
  </si>
  <si>
    <t xml:space="preserve">Dupla ou trio</t>
  </si>
  <si>
    <t xml:space="preserve">Slides + código + relatório</t>
  </si>
  <si>
    <t xml:space="preserve">P1</t>
  </si>
  <si>
    <t xml:space="preserve">Conteúdo dos encontros 1 a 8</t>
  </si>
  <si>
    <t xml:space="preserve">Prova escrita</t>
  </si>
  <si>
    <t xml:space="preserve">T4</t>
  </si>
  <si>
    <t xml:space="preserve">Laboratório 4</t>
  </si>
  <si>
    <t xml:space="preserve">Despacho dinâmico implementado com closures e refatoração de herança para composição</t>
  </si>
  <si>
    <t xml:space="preserve">Notebook Colab</t>
  </si>
  <si>
    <t xml:space="preserve">T5</t>
  </si>
  <si>
    <t xml:space="preserve">Laboratório 5</t>
  </si>
  <si>
    <t xml:space="preserve">Base de conhecimento e puzzle combinatório com CLP(FD)</t>
  </si>
  <si>
    <t xml:space="preserve">Arquivos .pl + relatório</t>
  </si>
  <si>
    <t xml:space="preserve">T6</t>
  </si>
  <si>
    <t xml:space="preserve">Laboratório 6</t>
  </si>
  <si>
    <t xml:space="preserve">Sistema concorrente por troca de mensagens em Elixir e em Go, com análise comparativa</t>
  </si>
  <si>
    <t xml:space="preserve">Dois repositórios + relatório</t>
  </si>
  <si>
    <t xml:space="preserve">TA2</t>
  </si>
  <si>
    <t xml:space="preserve">Trabalho de Apresentação 2</t>
  </si>
  <si>
    <t xml:space="preserve">Projeto final do interpretador ou estudo aprofundado de uma linguagem, com defesa oral</t>
  </si>
  <si>
    <t xml:space="preserve">Slides + repositório + relatório</t>
  </si>
  <si>
    <t xml:space="preserve">P2</t>
  </si>
  <si>
    <t xml:space="preserve">Conteúdo dos encontros 11 a 16</t>
  </si>
  <si>
    <t xml:space="preserve">PS</t>
  </si>
  <si>
    <t xml:space="preserve">Conteúdo integral dos encontros 1 a 17</t>
  </si>
  <si>
    <t xml:space="preserve">Soma G1 (T1+T2+T3+TA1+P1)</t>
  </si>
  <si>
    <t xml:space="preserve">Soma G2 (T4+T5+T6+TA2+P2)</t>
  </si>
  <si>
    <t xml:space="preserve">PLANILHA DE NOTAS DA TURMA</t>
  </si>
  <si>
    <t xml:space="preserve">Preencha apenas as células amarelas (notas dos alunos). G1, G2, Nota Final e situação são calculados. A linha 6 é um exemplo do formato esperado — apague-a antes de usar.</t>
  </si>
  <si>
    <t xml:space="preserve">Aluno</t>
  </si>
  <si>
    <t xml:space="preserve">T1 (1,0)</t>
  </si>
  <si>
    <t xml:space="preserve">T2 (1,0)</t>
  </si>
  <si>
    <t xml:space="preserve">T3 (1,0)</t>
  </si>
  <si>
    <t xml:space="preserve">TA1 (3,0)</t>
  </si>
  <si>
    <t xml:space="preserve">P1 (4,0)</t>
  </si>
  <si>
    <t xml:space="preserve">T4 (1,0)</t>
  </si>
  <si>
    <t xml:space="preserve">T5 (1,0)</t>
  </si>
  <si>
    <t xml:space="preserve">T6 (1,0)</t>
  </si>
  <si>
    <t xml:space="preserve">TA2 (3,0)</t>
  </si>
  <si>
    <t xml:space="preserve">P2 (4,0)</t>
  </si>
  <si>
    <t xml:space="preserve">Subst. (4,0)</t>
  </si>
  <si>
    <t xml:space="preserve">Nota Final</t>
  </si>
  <si>
    <t xml:space="preserve">Situação</t>
  </si>
  <si>
    <t xml:space="preserve">EXEMPLO — Maria da Silva (apagar)</t>
  </si>
  <si>
    <t xml:space="preserve">Células amarelas = entrada manual. Células azuis = calculadas, não digite nada nelas.</t>
  </si>
  <si>
    <t xml:space="preserve">A Prova de Substituição (coluna N) é aplicada automaticamente à menor entre P1 e P2, e só é considerada quando eleva a nota.</t>
  </si>
  <si>
    <t xml:space="preserve">Média de aprovação adotada: 7,0 — confira o regimento vigente da instituição antes de usar.</t>
  </si>
  <si>
    <t xml:space="preserve">CHECKLIST DE PRODUÇÃO DO MATERIAL</t>
  </si>
  <si>
    <t xml:space="preserve">Controle de produção dos decks e notebooks. Preencha a coluna Status (amarela) com Pendente, Em produção ou Pronto.</t>
  </si>
  <si>
    <t xml:space="preserve">Deck (slides)</t>
  </si>
  <si>
    <t xml:space="preserve">Notebook 1</t>
  </si>
  <si>
    <t xml:space="preserve">Notebook 2</t>
  </si>
  <si>
    <t xml:space="preserve">Notebook 3</t>
  </si>
  <si>
    <t xml:space="preserve">Enunciado do trabalho</t>
  </si>
  <si>
    <t xml:space="preserve">Status</t>
  </si>
  <si>
    <t xml:space="preserve">Observações</t>
  </si>
  <si>
    <t xml:space="preserve">aula01_slides.pptx (40)</t>
  </si>
  <si>
    <t xml:space="preserve">Pronto</t>
  </si>
  <si>
    <t xml:space="preserve">aula02_slides.pptx (40)</t>
  </si>
  <si>
    <t xml:space="preserve">Pendente</t>
  </si>
  <si>
    <t xml:space="preserve">aula03_slides.pptx (40)</t>
  </si>
  <si>
    <t xml:space="preserve">aula04_slides.pptx (40)</t>
  </si>
  <si>
    <t xml:space="preserve">aula05_slides.pptx (40)</t>
  </si>
  <si>
    <t xml:space="preserve">aula06_slides.pptx (40)</t>
  </si>
  <si>
    <t xml:space="preserve">aula07_slides.pptx (40)</t>
  </si>
  <si>
    <t xml:space="preserve">aula08_slides.pptx (40)</t>
  </si>
  <si>
    <t xml:space="preserve">aula09_slides.pptx (20)</t>
  </si>
  <si>
    <t xml:space="preserve">aula11_slides.pptx (40)</t>
  </si>
  <si>
    <t xml:space="preserve">aula12_slides.pptx (40)</t>
  </si>
  <si>
    <t xml:space="preserve">aula13_slides.pptx (40)</t>
  </si>
  <si>
    <t xml:space="preserve">aula14_slides.pptx (40)</t>
  </si>
  <si>
    <t xml:space="preserve">aula15_slides.pptx (40)</t>
  </si>
  <si>
    <t xml:space="preserve">aula16_slides.pptx (40)</t>
  </si>
  <si>
    <t xml:space="preserve">aula17_slides.pptx (20)</t>
  </si>
  <si>
    <t xml:space="preserve">aula19_slides.pptx (20)</t>
  </si>
  <si>
    <t xml:space="preserve">BIBLIOGRAFIA</t>
  </si>
  <si>
    <t xml:space="preserve">Referências do plano de ensino, com indicação dos encontros em que cada obra é leitura prévia. Confira as edições com o acervo da biblioteca antes da submissão ao colegiado.</t>
  </si>
  <si>
    <t xml:space="preserve">Categoria</t>
  </si>
  <si>
    <t xml:space="preserve">Autor</t>
  </si>
  <si>
    <t xml:space="preserve">Título</t>
  </si>
  <si>
    <t xml:space="preserve">Edição / publicação</t>
  </si>
  <si>
    <t xml:space="preserve">Encontros</t>
  </si>
  <si>
    <t xml:space="preserve">Básica</t>
  </si>
  <si>
    <t xml:space="preserve">SEBESTA, Robert W.</t>
  </si>
  <si>
    <t xml:space="preserve">Conceitos de linguagens de programação</t>
  </si>
  <si>
    <t xml:space="preserve">9. ed. Porto Alegre: Bookman, 2011</t>
  </si>
  <si>
    <t xml:space="preserve">Todas as aulas</t>
  </si>
  <si>
    <t xml:space="preserve">TUCKER, Allen B.; NOONAN, Robert E.</t>
  </si>
  <si>
    <t xml:space="preserve">Linguagens de programação: princípios e paradigmas</t>
  </si>
  <si>
    <t xml:space="preserve">2. ed. São Paulo: McGraw-Hill, 2009</t>
  </si>
  <si>
    <t xml:space="preserve">Aulas 1, 2, 6, 7, 8</t>
  </si>
  <si>
    <t xml:space="preserve">VAN ROY, Peter; HARIDI, Seif</t>
  </si>
  <si>
    <t xml:space="preserve">Concepts, techniques, and models of computer programming</t>
  </si>
  <si>
    <t xml:space="preserve">Cambridge: MIT Press, 2004</t>
  </si>
  <si>
    <t xml:space="preserve">Aulas 1, 14, 15</t>
  </si>
  <si>
    <t xml:space="preserve">Complementar</t>
  </si>
  <si>
    <t xml:space="preserve">MARTINS, João Pavão</t>
  </si>
  <si>
    <t xml:space="preserve">Programação em Python: introdução à programação utilizando múltiplos paradigmas</t>
  </si>
  <si>
    <t xml:space="preserve">2. ed. Lisboa: IST Press, 2017</t>
  </si>
  <si>
    <t xml:space="preserve">Aulas 3, 4, 5, 11</t>
  </si>
  <si>
    <t xml:space="preserve">RAMALHO, Luciano</t>
  </si>
  <si>
    <t xml:space="preserve">Python fluente</t>
  </si>
  <si>
    <t xml:space="preserve">2. ed. 2023</t>
  </si>
  <si>
    <t xml:space="preserve">Aulas 4, 5, 11, 16</t>
  </si>
  <si>
    <t xml:space="preserve">LOTT, Steven F.</t>
  </si>
  <si>
    <t xml:space="preserve">Functional Python programming</t>
  </si>
  <si>
    <t xml:space="preserve">Birmingham: Packt Publishing</t>
  </si>
  <si>
    <t xml:space="preserve">Aulas 4, 5</t>
  </si>
  <si>
    <t xml:space="preserve">KRISHNAMURTHI, Shriram</t>
  </si>
  <si>
    <t xml:space="preserve">Programming languages: application and interpretation</t>
  </si>
  <si>
    <t xml:space="preserve">Brown University, plai.org</t>
  </si>
  <si>
    <t xml:space="preserve">Aulas 3, 6, 7, 8</t>
  </si>
  <si>
    <t xml:space="preserve">STERLING, Leon; SHAPIRO, Ehud</t>
  </si>
  <si>
    <t xml:space="preserve">The art of Prolog</t>
  </si>
  <si>
    <t xml:space="preserve">2. ed. Cambridge: MIT Press, 1994</t>
  </si>
  <si>
    <t xml:space="preserve">Aulas 12, 13</t>
  </si>
  <si>
    <t xml:space="preserve">GABBRIELLI, M.; MARTINI, S.</t>
  </si>
  <si>
    <t xml:space="preserve">Programming languages: principles and paradigms</t>
  </si>
  <si>
    <t xml:space="preserve">London: Springer</t>
  </si>
  <si>
    <t xml:space="preserve">Aulas 2, 8, 16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</si>
</sst>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6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n">
        <v>1</v>
      </c>
      <c r="B5" s="5" t="n">
        <f aca="false">DATE(2026,8,5)</f>
        <v>46239</v>
      </c>
      <c r="C5" s="6" t="s">
        <v>11</v>
      </c>
      <c r="D5" s="6" t="s">
        <v>12</v>
      </c>
      <c r="E5" s="7" t="s">
        <v>13</v>
      </c>
      <c r="F5" s="7" t="s">
        <v>14</v>
      </c>
      <c r="G5" s="4" t="n">
        <v>40</v>
      </c>
      <c r="H5" s="4" t="n">
        <v>3</v>
      </c>
      <c r="I5" s="7" t="s">
        <v>15</v>
      </c>
    </row>
    <row r="6" customFormat="false" ht="42" hidden="false" customHeight="true" outlineLevel="0" collapsed="false">
      <c r="A6" s="8" t="n">
        <v>2</v>
      </c>
      <c r="B6" s="9" t="n">
        <f aca="false">B5+7</f>
        <v>46246</v>
      </c>
      <c r="C6" s="10" t="s">
        <v>11</v>
      </c>
      <c r="D6" s="10" t="s">
        <v>12</v>
      </c>
      <c r="E6" s="11" t="s">
        <v>16</v>
      </c>
      <c r="F6" s="11" t="s">
        <v>17</v>
      </c>
      <c r="G6" s="8" t="n">
        <v>40</v>
      </c>
      <c r="H6" s="8" t="n">
        <v>3</v>
      </c>
      <c r="I6" s="11" t="s">
        <v>15</v>
      </c>
    </row>
    <row r="7" customFormat="false" ht="42" hidden="false" customHeight="true" outlineLevel="0" collapsed="false">
      <c r="A7" s="4" t="n">
        <v>3</v>
      </c>
      <c r="B7" s="12" t="n">
        <f aca="false">B6+7</f>
        <v>46253</v>
      </c>
      <c r="C7" s="6" t="s">
        <v>11</v>
      </c>
      <c r="D7" s="6" t="s">
        <v>12</v>
      </c>
      <c r="E7" s="7" t="s">
        <v>18</v>
      </c>
      <c r="F7" s="7" t="s">
        <v>19</v>
      </c>
      <c r="G7" s="4" t="n">
        <v>40</v>
      </c>
      <c r="H7" s="4" t="n">
        <v>3</v>
      </c>
      <c r="I7" s="7" t="s">
        <v>20</v>
      </c>
    </row>
    <row r="8" customFormat="false" ht="42" hidden="false" customHeight="true" outlineLevel="0" collapsed="false">
      <c r="A8" s="8" t="n">
        <v>4</v>
      </c>
      <c r="B8" s="9" t="n">
        <f aca="false">B7+7</f>
        <v>46260</v>
      </c>
      <c r="C8" s="10" t="s">
        <v>11</v>
      </c>
      <c r="D8" s="10" t="s">
        <v>12</v>
      </c>
      <c r="E8" s="11" t="s">
        <v>21</v>
      </c>
      <c r="F8" s="11" t="s">
        <v>22</v>
      </c>
      <c r="G8" s="8" t="n">
        <v>40</v>
      </c>
      <c r="H8" s="8" t="n">
        <v>3</v>
      </c>
      <c r="I8" s="11" t="s">
        <v>15</v>
      </c>
    </row>
    <row r="9" customFormat="false" ht="42" hidden="false" customHeight="true" outlineLevel="0" collapsed="false">
      <c r="A9" s="4" t="n">
        <v>5</v>
      </c>
      <c r="B9" s="12" t="n">
        <f aca="false">B8+7</f>
        <v>46267</v>
      </c>
      <c r="C9" s="6" t="s">
        <v>11</v>
      </c>
      <c r="D9" s="6" t="s">
        <v>12</v>
      </c>
      <c r="E9" s="7" t="s">
        <v>23</v>
      </c>
      <c r="F9" s="7" t="s">
        <v>24</v>
      </c>
      <c r="G9" s="4" t="n">
        <v>40</v>
      </c>
      <c r="H9" s="4" t="n">
        <v>3</v>
      </c>
      <c r="I9" s="7" t="s">
        <v>25</v>
      </c>
    </row>
    <row r="10" customFormat="false" ht="42" hidden="false" customHeight="true" outlineLevel="0" collapsed="false">
      <c r="A10" s="8" t="n">
        <v>6</v>
      </c>
      <c r="B10" s="9" t="n">
        <f aca="false">B9+7</f>
        <v>46274</v>
      </c>
      <c r="C10" s="10" t="s">
        <v>11</v>
      </c>
      <c r="D10" s="10" t="s">
        <v>12</v>
      </c>
      <c r="E10" s="11" t="s">
        <v>26</v>
      </c>
      <c r="F10" s="11" t="s">
        <v>27</v>
      </c>
      <c r="G10" s="8" t="n">
        <v>40</v>
      </c>
      <c r="H10" s="8" t="n">
        <v>3</v>
      </c>
      <c r="I10" s="11" t="s">
        <v>15</v>
      </c>
    </row>
    <row r="11" customFormat="false" ht="42" hidden="false" customHeight="true" outlineLevel="0" collapsed="false">
      <c r="A11" s="4" t="n">
        <v>7</v>
      </c>
      <c r="B11" s="12" t="n">
        <f aca="false">B10+7</f>
        <v>46281</v>
      </c>
      <c r="C11" s="6" t="s">
        <v>11</v>
      </c>
      <c r="D11" s="6" t="s">
        <v>12</v>
      </c>
      <c r="E11" s="7" t="s">
        <v>28</v>
      </c>
      <c r="F11" s="7" t="s">
        <v>29</v>
      </c>
      <c r="G11" s="4" t="n">
        <v>40</v>
      </c>
      <c r="H11" s="4" t="n">
        <v>3</v>
      </c>
      <c r="I11" s="7" t="s">
        <v>30</v>
      </c>
    </row>
    <row r="12" customFormat="false" ht="42" hidden="false" customHeight="true" outlineLevel="0" collapsed="false">
      <c r="A12" s="8" t="n">
        <v>8</v>
      </c>
      <c r="B12" s="9" t="n">
        <f aca="false">B11+7</f>
        <v>46288</v>
      </c>
      <c r="C12" s="10" t="s">
        <v>11</v>
      </c>
      <c r="D12" s="10" t="s">
        <v>12</v>
      </c>
      <c r="E12" s="11" t="s">
        <v>31</v>
      </c>
      <c r="F12" s="11" t="s">
        <v>32</v>
      </c>
      <c r="G12" s="8" t="n">
        <v>40</v>
      </c>
      <c r="H12" s="8" t="n">
        <v>3</v>
      </c>
      <c r="I12" s="11" t="s">
        <v>15</v>
      </c>
    </row>
    <row r="13" customFormat="false" ht="42" hidden="false" customHeight="true" outlineLevel="0" collapsed="false">
      <c r="A13" s="4" t="n">
        <v>9</v>
      </c>
      <c r="B13" s="12" t="n">
        <f aca="false">B12+7</f>
        <v>46295</v>
      </c>
      <c r="C13" s="6" t="s">
        <v>11</v>
      </c>
      <c r="D13" s="6" t="s">
        <v>33</v>
      </c>
      <c r="E13" s="7" t="s">
        <v>34</v>
      </c>
      <c r="F13" s="7" t="s">
        <v>35</v>
      </c>
      <c r="G13" s="4" t="n">
        <v>20</v>
      </c>
      <c r="H13" s="4" t="s">
        <v>15</v>
      </c>
      <c r="I13" s="7" t="s">
        <v>36</v>
      </c>
    </row>
    <row r="14" customFormat="false" ht="42" hidden="false" customHeight="true" outlineLevel="0" collapsed="false">
      <c r="A14" s="8" t="n">
        <v>10</v>
      </c>
      <c r="B14" s="9" t="n">
        <f aca="false">B13+7</f>
        <v>46302</v>
      </c>
      <c r="C14" s="10" t="s">
        <v>11</v>
      </c>
      <c r="D14" s="10" t="s">
        <v>10</v>
      </c>
      <c r="E14" s="11" t="s">
        <v>37</v>
      </c>
      <c r="F14" s="11" t="s">
        <v>38</v>
      </c>
      <c r="G14" s="8" t="s">
        <v>15</v>
      </c>
      <c r="H14" s="8" t="s">
        <v>15</v>
      </c>
      <c r="I14" s="11" t="s">
        <v>39</v>
      </c>
    </row>
    <row r="15" customFormat="false" ht="42" hidden="false" customHeight="true" outlineLevel="0" collapsed="false">
      <c r="A15" s="4" t="n">
        <v>11</v>
      </c>
      <c r="B15" s="12" t="n">
        <f aca="false">B14+7</f>
        <v>46309</v>
      </c>
      <c r="C15" s="6" t="s">
        <v>40</v>
      </c>
      <c r="D15" s="6" t="s">
        <v>12</v>
      </c>
      <c r="E15" s="7" t="s">
        <v>41</v>
      </c>
      <c r="F15" s="7" t="s">
        <v>42</v>
      </c>
      <c r="G15" s="4" t="n">
        <v>40</v>
      </c>
      <c r="H15" s="4" t="n">
        <v>3</v>
      </c>
      <c r="I15" s="7" t="s">
        <v>15</v>
      </c>
    </row>
    <row r="16" customFormat="false" ht="42" hidden="false" customHeight="true" outlineLevel="0" collapsed="false">
      <c r="A16" s="8" t="n">
        <v>12</v>
      </c>
      <c r="B16" s="9" t="n">
        <f aca="false">B15+7</f>
        <v>46316</v>
      </c>
      <c r="C16" s="10" t="s">
        <v>40</v>
      </c>
      <c r="D16" s="10" t="s">
        <v>12</v>
      </c>
      <c r="E16" s="11" t="s">
        <v>43</v>
      </c>
      <c r="F16" s="11" t="s">
        <v>44</v>
      </c>
      <c r="G16" s="8" t="n">
        <v>40</v>
      </c>
      <c r="H16" s="8" t="n">
        <v>3</v>
      </c>
      <c r="I16" s="11" t="s">
        <v>45</v>
      </c>
    </row>
    <row r="17" customFormat="false" ht="42" hidden="false" customHeight="true" outlineLevel="0" collapsed="false">
      <c r="A17" s="4" t="n">
        <v>13</v>
      </c>
      <c r="B17" s="12" t="n">
        <f aca="false">B16+7</f>
        <v>46323</v>
      </c>
      <c r="C17" s="6" t="s">
        <v>40</v>
      </c>
      <c r="D17" s="6" t="s">
        <v>12</v>
      </c>
      <c r="E17" s="7" t="s">
        <v>46</v>
      </c>
      <c r="F17" s="7" t="s">
        <v>47</v>
      </c>
      <c r="G17" s="4" t="n">
        <v>40</v>
      </c>
      <c r="H17" s="4" t="n">
        <v>3</v>
      </c>
      <c r="I17" s="7" t="s">
        <v>15</v>
      </c>
    </row>
    <row r="18" customFormat="false" ht="42" hidden="false" customHeight="true" outlineLevel="0" collapsed="false">
      <c r="A18" s="8" t="n">
        <v>14</v>
      </c>
      <c r="B18" s="9" t="n">
        <f aca="false">B17+7</f>
        <v>46330</v>
      </c>
      <c r="C18" s="10" t="s">
        <v>40</v>
      </c>
      <c r="D18" s="10" t="s">
        <v>12</v>
      </c>
      <c r="E18" s="11" t="s">
        <v>48</v>
      </c>
      <c r="F18" s="11" t="s">
        <v>49</v>
      </c>
      <c r="G18" s="8" t="n">
        <v>40</v>
      </c>
      <c r="H18" s="8" t="n">
        <v>3</v>
      </c>
      <c r="I18" s="11" t="s">
        <v>50</v>
      </c>
    </row>
    <row r="19" customFormat="false" ht="42" hidden="false" customHeight="true" outlineLevel="0" collapsed="false">
      <c r="A19" s="4" t="n">
        <v>15</v>
      </c>
      <c r="B19" s="12" t="n">
        <f aca="false">B18+7</f>
        <v>46337</v>
      </c>
      <c r="C19" s="6" t="s">
        <v>40</v>
      </c>
      <c r="D19" s="6" t="s">
        <v>12</v>
      </c>
      <c r="E19" s="7" t="s">
        <v>51</v>
      </c>
      <c r="F19" s="7" t="s">
        <v>52</v>
      </c>
      <c r="G19" s="4" t="n">
        <v>40</v>
      </c>
      <c r="H19" s="4" t="n">
        <v>3</v>
      </c>
      <c r="I19" s="7" t="s">
        <v>15</v>
      </c>
    </row>
    <row r="20" customFormat="false" ht="42" hidden="false" customHeight="true" outlineLevel="0" collapsed="false">
      <c r="A20" s="8" t="n">
        <v>16</v>
      </c>
      <c r="B20" s="9" t="n">
        <f aca="false">B19+7</f>
        <v>46344</v>
      </c>
      <c r="C20" s="10" t="s">
        <v>40</v>
      </c>
      <c r="D20" s="10" t="s">
        <v>12</v>
      </c>
      <c r="E20" s="11" t="s">
        <v>53</v>
      </c>
      <c r="F20" s="11" t="s">
        <v>54</v>
      </c>
      <c r="G20" s="8" t="n">
        <v>40</v>
      </c>
      <c r="H20" s="8" t="n">
        <v>3</v>
      </c>
      <c r="I20" s="11" t="s">
        <v>55</v>
      </c>
    </row>
    <row r="21" customFormat="false" ht="42" hidden="false" customHeight="true" outlineLevel="0" collapsed="false">
      <c r="A21" s="4" t="n">
        <v>17</v>
      </c>
      <c r="B21" s="12" t="n">
        <f aca="false">B20+7</f>
        <v>46351</v>
      </c>
      <c r="C21" s="6" t="s">
        <v>40</v>
      </c>
      <c r="D21" s="6" t="s">
        <v>33</v>
      </c>
      <c r="E21" s="7" t="s">
        <v>56</v>
      </c>
      <c r="F21" s="7" t="s">
        <v>57</v>
      </c>
      <c r="G21" s="4" t="n">
        <v>20</v>
      </c>
      <c r="H21" s="4" t="s">
        <v>15</v>
      </c>
      <c r="I21" s="7" t="s">
        <v>58</v>
      </c>
    </row>
    <row r="22" customFormat="false" ht="42" hidden="false" customHeight="true" outlineLevel="0" collapsed="false">
      <c r="A22" s="8" t="n">
        <v>18</v>
      </c>
      <c r="B22" s="9" t="n">
        <f aca="false">B21+7</f>
        <v>46358</v>
      </c>
      <c r="C22" s="10" t="s">
        <v>40</v>
      </c>
      <c r="D22" s="10" t="s">
        <v>10</v>
      </c>
      <c r="E22" s="11" t="s">
        <v>59</v>
      </c>
      <c r="F22" s="11" t="s">
        <v>60</v>
      </c>
      <c r="G22" s="8" t="s">
        <v>15</v>
      </c>
      <c r="H22" s="8" t="s">
        <v>15</v>
      </c>
      <c r="I22" s="11" t="s">
        <v>61</v>
      </c>
    </row>
    <row r="23" customFormat="false" ht="42" hidden="false" customHeight="true" outlineLevel="0" collapsed="false">
      <c r="A23" s="4" t="n">
        <v>19</v>
      </c>
      <c r="B23" s="12" t="n">
        <f aca="false">B22+7</f>
        <v>46365</v>
      </c>
      <c r="C23" s="6" t="s">
        <v>62</v>
      </c>
      <c r="D23" s="6" t="s">
        <v>63</v>
      </c>
      <c r="E23" s="7" t="s">
        <v>64</v>
      </c>
      <c r="F23" s="7" t="s">
        <v>65</v>
      </c>
      <c r="G23" s="4" t="n">
        <v>20</v>
      </c>
      <c r="H23" s="4" t="s">
        <v>15</v>
      </c>
      <c r="I23" s="7" t="s">
        <v>15</v>
      </c>
    </row>
    <row r="24" customFormat="false" ht="42" hidden="false" customHeight="true" outlineLevel="0" collapsed="false">
      <c r="A24" s="8" t="n">
        <v>20</v>
      </c>
      <c r="B24" s="9" t="n">
        <f aca="false">B23+7</f>
        <v>46372</v>
      </c>
      <c r="C24" s="10" t="s">
        <v>62</v>
      </c>
      <c r="D24" s="10" t="s">
        <v>10</v>
      </c>
      <c r="E24" s="11" t="s">
        <v>66</v>
      </c>
      <c r="F24" s="11" t="s">
        <v>67</v>
      </c>
      <c r="G24" s="8" t="s">
        <v>15</v>
      </c>
      <c r="H24" s="8" t="s">
        <v>15</v>
      </c>
      <c r="I24" s="11" t="s">
        <v>68</v>
      </c>
    </row>
    <row r="26" customFormat="false" ht="15" hidden="false" customHeight="false" outlineLevel="0" collapsed="false">
      <c r="A26" s="13" t="s">
        <v>69</v>
      </c>
      <c r="F26" s="13" t="s">
        <v>70</v>
      </c>
      <c r="G26" s="13" t="n">
        <f aca="false">SUM(G5:G24)</f>
        <v>620</v>
      </c>
      <c r="H26" s="13" t="n">
        <f aca="false">SUM(H5:H24)</f>
        <v>42</v>
      </c>
    </row>
    <row r="28" customFormat="false" ht="15" hidden="false" customHeight="false" outlineLevel="0" collapsed="false">
      <c r="A28" s="14" t="s">
        <v>71</v>
      </c>
    </row>
    <row r="29" customFormat="false" ht="15" hidden="false" customHeight="false" outlineLevel="0" collapsed="false">
      <c r="A29" s="14" t="s">
        <v>72</v>
      </c>
    </row>
    <row r="30" customFormat="false" ht="15" hidden="false" customHeight="false" outlineLevel="0" collapsed="false">
      <c r="A30" s="14" t="s">
        <v>73</v>
      </c>
    </row>
    <row r="31" customFormat="false" ht="15" hidden="false" customHeight="false" outlineLevel="0" collapsed="false">
      <c r="A31" s="14" t="s">
        <v>74</v>
      </c>
    </row>
    <row r="32" customFormat="false" ht="15" hidden="false" customHeight="false" outlineLevel="0" collapsed="false">
      <c r="A32" s="14" t="s">
        <v>75</v>
      </c>
    </row>
    <row r="33" customFormat="false" ht="15" hidden="false" customHeight="false" outlineLevel="0" collapsed="false">
      <c r="A33" s="14" t="s">
        <v>76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6"/>
    <col collapsed="false" customWidth="true" hidden="false" outlineLevel="0" max="6" min="6" style="0" width="26"/>
    <col collapsed="false" customWidth="true" hidden="false" outlineLevel="0" max="7" min="7" style="0" width="62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5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</v>
      </c>
    </row>
    <row r="5" customFormat="false" ht="15" hidden="false" customHeight="false" outlineLevel="0" collapsed="false">
      <c r="A5" s="4" t="n">
        <v>1</v>
      </c>
      <c r="B5" s="6" t="s">
        <v>12</v>
      </c>
      <c r="C5" s="6" t="s">
        <v>84</v>
      </c>
      <c r="D5" s="6" t="s">
        <v>85</v>
      </c>
      <c r="E5" s="4" t="n">
        <v>10</v>
      </c>
      <c r="F5" s="7" t="s">
        <v>86</v>
      </c>
      <c r="G5" s="7" t="s">
        <v>87</v>
      </c>
      <c r="H5" s="6" t="s">
        <v>88</v>
      </c>
    </row>
    <row r="6" customFormat="false" ht="15" hidden="false" customHeight="false" outlineLevel="0" collapsed="false">
      <c r="A6" s="4"/>
      <c r="B6" s="6"/>
      <c r="C6" s="6" t="s">
        <v>85</v>
      </c>
      <c r="D6" s="6" t="s">
        <v>89</v>
      </c>
      <c r="E6" s="4" t="n">
        <v>15</v>
      </c>
      <c r="F6" s="7" t="s">
        <v>90</v>
      </c>
      <c r="G6" s="7" t="s">
        <v>91</v>
      </c>
      <c r="H6" s="6" t="s">
        <v>92</v>
      </c>
    </row>
    <row r="7" customFormat="false" ht="15" hidden="false" customHeight="false" outlineLevel="0" collapsed="false">
      <c r="A7" s="4"/>
      <c r="B7" s="6"/>
      <c r="C7" s="6" t="s">
        <v>89</v>
      </c>
      <c r="D7" s="6" t="s">
        <v>93</v>
      </c>
      <c r="E7" s="4" t="n">
        <v>35</v>
      </c>
      <c r="F7" s="7" t="s">
        <v>94</v>
      </c>
      <c r="G7" s="7" t="s">
        <v>95</v>
      </c>
      <c r="H7" s="6" t="s">
        <v>96</v>
      </c>
    </row>
    <row r="8" customFormat="false" ht="15" hidden="false" customHeight="false" outlineLevel="0" collapsed="false">
      <c r="A8" s="4"/>
      <c r="B8" s="6"/>
      <c r="C8" s="6" t="s">
        <v>93</v>
      </c>
      <c r="D8" s="6" t="s">
        <v>97</v>
      </c>
      <c r="E8" s="4" t="n">
        <v>10</v>
      </c>
      <c r="F8" s="7" t="s">
        <v>98</v>
      </c>
      <c r="G8" s="7" t="s">
        <v>99</v>
      </c>
      <c r="H8" s="6" t="s">
        <v>100</v>
      </c>
    </row>
    <row r="9" customFormat="false" ht="15" hidden="false" customHeight="false" outlineLevel="0" collapsed="false">
      <c r="A9" s="4"/>
      <c r="B9" s="6"/>
      <c r="C9" s="6" t="s">
        <v>97</v>
      </c>
      <c r="D9" s="6" t="s">
        <v>101</v>
      </c>
      <c r="E9" s="4" t="n">
        <v>30</v>
      </c>
      <c r="F9" s="7" t="s">
        <v>102</v>
      </c>
      <c r="G9" s="7" t="s">
        <v>103</v>
      </c>
      <c r="H9" s="6" t="s">
        <v>104</v>
      </c>
    </row>
    <row r="10" customFormat="false" ht="15" hidden="false" customHeight="false" outlineLevel="0" collapsed="false">
      <c r="A10" s="4"/>
      <c r="B10" s="6"/>
      <c r="C10" s="6" t="s">
        <v>101</v>
      </c>
      <c r="D10" s="6" t="s">
        <v>105</v>
      </c>
      <c r="E10" s="4" t="n">
        <v>25</v>
      </c>
      <c r="F10" s="7" t="s">
        <v>106</v>
      </c>
      <c r="G10" s="7" t="s">
        <v>107</v>
      </c>
      <c r="H10" s="6" t="s">
        <v>108</v>
      </c>
    </row>
    <row r="11" customFormat="false" ht="23.85" hidden="false" customHeight="false" outlineLevel="0" collapsed="false">
      <c r="A11" s="4"/>
      <c r="B11" s="6"/>
      <c r="C11" s="6" t="s">
        <v>105</v>
      </c>
      <c r="D11" s="6" t="s">
        <v>109</v>
      </c>
      <c r="E11" s="4" t="n">
        <v>40</v>
      </c>
      <c r="F11" s="7" t="s">
        <v>110</v>
      </c>
      <c r="G11" s="7" t="s">
        <v>111</v>
      </c>
      <c r="H11" s="6" t="s">
        <v>112</v>
      </c>
    </row>
    <row r="12" customFormat="false" ht="15" hidden="false" customHeight="false" outlineLevel="0" collapsed="false">
      <c r="A12" s="4"/>
      <c r="B12" s="6"/>
      <c r="C12" s="6" t="s">
        <v>109</v>
      </c>
      <c r="D12" s="6" t="s">
        <v>113</v>
      </c>
      <c r="E12" s="4" t="n">
        <v>15</v>
      </c>
      <c r="F12" s="7" t="s">
        <v>114</v>
      </c>
      <c r="G12" s="7" t="s">
        <v>115</v>
      </c>
      <c r="H12" s="6" t="s">
        <v>116</v>
      </c>
    </row>
    <row r="13" customFormat="false" ht="15" hidden="false" customHeight="false" outlineLevel="0" collapsed="false">
      <c r="A13" s="8" t="n">
        <v>2</v>
      </c>
      <c r="B13" s="10" t="s">
        <v>12</v>
      </c>
      <c r="C13" s="10" t="s">
        <v>84</v>
      </c>
      <c r="D13" s="10" t="s">
        <v>85</v>
      </c>
      <c r="E13" s="8" t="n">
        <v>10</v>
      </c>
      <c r="F13" s="11" t="s">
        <v>86</v>
      </c>
      <c r="G13" s="11" t="s">
        <v>87</v>
      </c>
      <c r="H13" s="10" t="s">
        <v>88</v>
      </c>
    </row>
    <row r="14" customFormat="false" ht="15" hidden="false" customHeight="false" outlineLevel="0" collapsed="false">
      <c r="A14" s="8"/>
      <c r="B14" s="10"/>
      <c r="C14" s="10" t="s">
        <v>85</v>
      </c>
      <c r="D14" s="10" t="s">
        <v>89</v>
      </c>
      <c r="E14" s="8" t="n">
        <v>15</v>
      </c>
      <c r="F14" s="11" t="s">
        <v>90</v>
      </c>
      <c r="G14" s="11" t="s">
        <v>91</v>
      </c>
      <c r="H14" s="10" t="s">
        <v>92</v>
      </c>
    </row>
    <row r="15" customFormat="false" ht="15" hidden="false" customHeight="false" outlineLevel="0" collapsed="false">
      <c r="A15" s="8"/>
      <c r="B15" s="10"/>
      <c r="C15" s="10" t="s">
        <v>89</v>
      </c>
      <c r="D15" s="10" t="s">
        <v>93</v>
      </c>
      <c r="E15" s="8" t="n">
        <v>35</v>
      </c>
      <c r="F15" s="11" t="s">
        <v>94</v>
      </c>
      <c r="G15" s="11" t="s">
        <v>95</v>
      </c>
      <c r="H15" s="10" t="s">
        <v>96</v>
      </c>
    </row>
    <row r="16" customFormat="false" ht="15" hidden="false" customHeight="false" outlineLevel="0" collapsed="false">
      <c r="A16" s="8"/>
      <c r="B16" s="10"/>
      <c r="C16" s="10" t="s">
        <v>93</v>
      </c>
      <c r="D16" s="10" t="s">
        <v>97</v>
      </c>
      <c r="E16" s="8" t="n">
        <v>10</v>
      </c>
      <c r="F16" s="11" t="s">
        <v>98</v>
      </c>
      <c r="G16" s="11" t="s">
        <v>99</v>
      </c>
      <c r="H16" s="10" t="s">
        <v>100</v>
      </c>
    </row>
    <row r="17" customFormat="false" ht="15" hidden="false" customHeight="false" outlineLevel="0" collapsed="false">
      <c r="A17" s="8"/>
      <c r="B17" s="10"/>
      <c r="C17" s="10" t="s">
        <v>97</v>
      </c>
      <c r="D17" s="10" t="s">
        <v>101</v>
      </c>
      <c r="E17" s="8" t="n">
        <v>30</v>
      </c>
      <c r="F17" s="11" t="s">
        <v>102</v>
      </c>
      <c r="G17" s="11" t="s">
        <v>103</v>
      </c>
      <c r="H17" s="10" t="s">
        <v>104</v>
      </c>
    </row>
    <row r="18" customFormat="false" ht="15" hidden="false" customHeight="false" outlineLevel="0" collapsed="false">
      <c r="A18" s="8"/>
      <c r="B18" s="10"/>
      <c r="C18" s="10" t="s">
        <v>101</v>
      </c>
      <c r="D18" s="10" t="s">
        <v>105</v>
      </c>
      <c r="E18" s="8" t="n">
        <v>25</v>
      </c>
      <c r="F18" s="11" t="s">
        <v>106</v>
      </c>
      <c r="G18" s="11" t="s">
        <v>107</v>
      </c>
      <c r="H18" s="10" t="s">
        <v>108</v>
      </c>
    </row>
    <row r="19" customFormat="false" ht="15" hidden="false" customHeight="false" outlineLevel="0" collapsed="false">
      <c r="A19" s="8"/>
      <c r="B19" s="10"/>
      <c r="C19" s="10" t="s">
        <v>105</v>
      </c>
      <c r="D19" s="10" t="s">
        <v>109</v>
      </c>
      <c r="E19" s="8" t="n">
        <v>40</v>
      </c>
      <c r="F19" s="11" t="s">
        <v>110</v>
      </c>
      <c r="G19" s="11" t="s">
        <v>117</v>
      </c>
      <c r="H19" s="10" t="s">
        <v>112</v>
      </c>
    </row>
    <row r="20" customFormat="false" ht="15" hidden="false" customHeight="false" outlineLevel="0" collapsed="false">
      <c r="A20" s="8"/>
      <c r="B20" s="10"/>
      <c r="C20" s="10" t="s">
        <v>109</v>
      </c>
      <c r="D20" s="10" t="s">
        <v>113</v>
      </c>
      <c r="E20" s="8" t="n">
        <v>15</v>
      </c>
      <c r="F20" s="11" t="s">
        <v>114</v>
      </c>
      <c r="G20" s="11" t="s">
        <v>115</v>
      </c>
      <c r="H20" s="10" t="s">
        <v>116</v>
      </c>
    </row>
    <row r="21" customFormat="false" ht="15" hidden="false" customHeight="false" outlineLevel="0" collapsed="false">
      <c r="A21" s="4" t="n">
        <v>3</v>
      </c>
      <c r="B21" s="6" t="s">
        <v>12</v>
      </c>
      <c r="C21" s="6" t="s">
        <v>84</v>
      </c>
      <c r="D21" s="6" t="s">
        <v>85</v>
      </c>
      <c r="E21" s="4" t="n">
        <v>10</v>
      </c>
      <c r="F21" s="7" t="s">
        <v>86</v>
      </c>
      <c r="G21" s="7" t="s">
        <v>87</v>
      </c>
      <c r="H21" s="6" t="s">
        <v>88</v>
      </c>
    </row>
    <row r="22" customFormat="false" ht="15" hidden="false" customHeight="false" outlineLevel="0" collapsed="false">
      <c r="A22" s="4"/>
      <c r="B22" s="6"/>
      <c r="C22" s="6" t="s">
        <v>85</v>
      </c>
      <c r="D22" s="6" t="s">
        <v>89</v>
      </c>
      <c r="E22" s="4" t="n">
        <v>15</v>
      </c>
      <c r="F22" s="7" t="s">
        <v>90</v>
      </c>
      <c r="G22" s="7" t="s">
        <v>91</v>
      </c>
      <c r="H22" s="6" t="s">
        <v>92</v>
      </c>
    </row>
    <row r="23" customFormat="false" ht="15" hidden="false" customHeight="false" outlineLevel="0" collapsed="false">
      <c r="A23" s="4"/>
      <c r="B23" s="6"/>
      <c r="C23" s="6" t="s">
        <v>89</v>
      </c>
      <c r="D23" s="6" t="s">
        <v>93</v>
      </c>
      <c r="E23" s="4" t="n">
        <v>35</v>
      </c>
      <c r="F23" s="7" t="s">
        <v>94</v>
      </c>
      <c r="G23" s="7" t="s">
        <v>95</v>
      </c>
      <c r="H23" s="6" t="s">
        <v>96</v>
      </c>
    </row>
    <row r="24" customFormat="false" ht="15" hidden="false" customHeight="false" outlineLevel="0" collapsed="false">
      <c r="A24" s="4"/>
      <c r="B24" s="6"/>
      <c r="C24" s="6" t="s">
        <v>93</v>
      </c>
      <c r="D24" s="6" t="s">
        <v>97</v>
      </c>
      <c r="E24" s="4" t="n">
        <v>10</v>
      </c>
      <c r="F24" s="7" t="s">
        <v>98</v>
      </c>
      <c r="G24" s="7" t="s">
        <v>99</v>
      </c>
      <c r="H24" s="6" t="s">
        <v>100</v>
      </c>
    </row>
    <row r="25" customFormat="false" ht="15" hidden="false" customHeight="false" outlineLevel="0" collapsed="false">
      <c r="A25" s="4"/>
      <c r="B25" s="6"/>
      <c r="C25" s="6" t="s">
        <v>97</v>
      </c>
      <c r="D25" s="6" t="s">
        <v>101</v>
      </c>
      <c r="E25" s="4" t="n">
        <v>30</v>
      </c>
      <c r="F25" s="7" t="s">
        <v>102</v>
      </c>
      <c r="G25" s="7" t="s">
        <v>103</v>
      </c>
      <c r="H25" s="6" t="s">
        <v>104</v>
      </c>
    </row>
    <row r="26" customFormat="false" ht="15" hidden="false" customHeight="false" outlineLevel="0" collapsed="false">
      <c r="A26" s="4"/>
      <c r="B26" s="6"/>
      <c r="C26" s="6" t="s">
        <v>101</v>
      </c>
      <c r="D26" s="6" t="s">
        <v>105</v>
      </c>
      <c r="E26" s="4" t="n">
        <v>25</v>
      </c>
      <c r="F26" s="7" t="s">
        <v>106</v>
      </c>
      <c r="G26" s="7" t="s">
        <v>107</v>
      </c>
      <c r="H26" s="6" t="s">
        <v>108</v>
      </c>
    </row>
    <row r="27" customFormat="false" ht="15" hidden="false" customHeight="false" outlineLevel="0" collapsed="false">
      <c r="A27" s="4"/>
      <c r="B27" s="6"/>
      <c r="C27" s="6" t="s">
        <v>105</v>
      </c>
      <c r="D27" s="6" t="s">
        <v>109</v>
      </c>
      <c r="E27" s="4" t="n">
        <v>40</v>
      </c>
      <c r="F27" s="7" t="s">
        <v>110</v>
      </c>
      <c r="G27" s="7" t="s">
        <v>118</v>
      </c>
      <c r="H27" s="6" t="s">
        <v>112</v>
      </c>
    </row>
    <row r="28" customFormat="false" ht="15" hidden="false" customHeight="false" outlineLevel="0" collapsed="false">
      <c r="A28" s="4"/>
      <c r="B28" s="6"/>
      <c r="C28" s="6" t="s">
        <v>109</v>
      </c>
      <c r="D28" s="6" t="s">
        <v>113</v>
      </c>
      <c r="E28" s="4" t="n">
        <v>15</v>
      </c>
      <c r="F28" s="7" t="s">
        <v>114</v>
      </c>
      <c r="G28" s="7" t="s">
        <v>115</v>
      </c>
      <c r="H28" s="6" t="s">
        <v>116</v>
      </c>
    </row>
    <row r="29" customFormat="false" ht="15" hidden="false" customHeight="false" outlineLevel="0" collapsed="false">
      <c r="A29" s="8" t="n">
        <v>4</v>
      </c>
      <c r="B29" s="10" t="s">
        <v>12</v>
      </c>
      <c r="C29" s="10" t="s">
        <v>84</v>
      </c>
      <c r="D29" s="10" t="s">
        <v>85</v>
      </c>
      <c r="E29" s="8" t="n">
        <v>10</v>
      </c>
      <c r="F29" s="11" t="s">
        <v>86</v>
      </c>
      <c r="G29" s="11" t="s">
        <v>87</v>
      </c>
      <c r="H29" s="10" t="s">
        <v>88</v>
      </c>
    </row>
    <row r="30" customFormat="false" ht="15" hidden="false" customHeight="false" outlineLevel="0" collapsed="false">
      <c r="A30" s="8"/>
      <c r="B30" s="10"/>
      <c r="C30" s="10" t="s">
        <v>85</v>
      </c>
      <c r="D30" s="10" t="s">
        <v>89</v>
      </c>
      <c r="E30" s="8" t="n">
        <v>15</v>
      </c>
      <c r="F30" s="11" t="s">
        <v>90</v>
      </c>
      <c r="G30" s="11" t="s">
        <v>91</v>
      </c>
      <c r="H30" s="10" t="s">
        <v>92</v>
      </c>
    </row>
    <row r="31" customFormat="false" ht="15" hidden="false" customHeight="false" outlineLevel="0" collapsed="false">
      <c r="A31" s="8"/>
      <c r="B31" s="10"/>
      <c r="C31" s="10" t="s">
        <v>89</v>
      </c>
      <c r="D31" s="10" t="s">
        <v>93</v>
      </c>
      <c r="E31" s="8" t="n">
        <v>35</v>
      </c>
      <c r="F31" s="11" t="s">
        <v>94</v>
      </c>
      <c r="G31" s="11" t="s">
        <v>95</v>
      </c>
      <c r="H31" s="10" t="s">
        <v>96</v>
      </c>
    </row>
    <row r="32" customFormat="false" ht="15" hidden="false" customHeight="false" outlineLevel="0" collapsed="false">
      <c r="A32" s="8"/>
      <c r="B32" s="10"/>
      <c r="C32" s="10" t="s">
        <v>93</v>
      </c>
      <c r="D32" s="10" t="s">
        <v>97</v>
      </c>
      <c r="E32" s="8" t="n">
        <v>10</v>
      </c>
      <c r="F32" s="11" t="s">
        <v>98</v>
      </c>
      <c r="G32" s="11" t="s">
        <v>99</v>
      </c>
      <c r="H32" s="10" t="s">
        <v>100</v>
      </c>
    </row>
    <row r="33" customFormat="false" ht="15" hidden="false" customHeight="false" outlineLevel="0" collapsed="false">
      <c r="A33" s="8"/>
      <c r="B33" s="10"/>
      <c r="C33" s="10" t="s">
        <v>97</v>
      </c>
      <c r="D33" s="10" t="s">
        <v>101</v>
      </c>
      <c r="E33" s="8" t="n">
        <v>30</v>
      </c>
      <c r="F33" s="11" t="s">
        <v>102</v>
      </c>
      <c r="G33" s="11" t="s">
        <v>103</v>
      </c>
      <c r="H33" s="10" t="s">
        <v>104</v>
      </c>
    </row>
    <row r="34" customFormat="false" ht="15" hidden="false" customHeight="false" outlineLevel="0" collapsed="false">
      <c r="A34" s="8"/>
      <c r="B34" s="10"/>
      <c r="C34" s="10" t="s">
        <v>101</v>
      </c>
      <c r="D34" s="10" t="s">
        <v>105</v>
      </c>
      <c r="E34" s="8" t="n">
        <v>25</v>
      </c>
      <c r="F34" s="11" t="s">
        <v>106</v>
      </c>
      <c r="G34" s="11" t="s">
        <v>107</v>
      </c>
      <c r="H34" s="10" t="s">
        <v>108</v>
      </c>
    </row>
    <row r="35" customFormat="false" ht="23.85" hidden="false" customHeight="false" outlineLevel="0" collapsed="false">
      <c r="A35" s="8"/>
      <c r="B35" s="10"/>
      <c r="C35" s="10" t="s">
        <v>105</v>
      </c>
      <c r="D35" s="10" t="s">
        <v>109</v>
      </c>
      <c r="E35" s="8" t="n">
        <v>40</v>
      </c>
      <c r="F35" s="11" t="s">
        <v>110</v>
      </c>
      <c r="G35" s="11" t="s">
        <v>119</v>
      </c>
      <c r="H35" s="10" t="s">
        <v>112</v>
      </c>
    </row>
    <row r="36" customFormat="false" ht="15" hidden="false" customHeight="false" outlineLevel="0" collapsed="false">
      <c r="A36" s="8"/>
      <c r="B36" s="10"/>
      <c r="C36" s="10" t="s">
        <v>109</v>
      </c>
      <c r="D36" s="10" t="s">
        <v>113</v>
      </c>
      <c r="E36" s="8" t="n">
        <v>15</v>
      </c>
      <c r="F36" s="11" t="s">
        <v>114</v>
      </c>
      <c r="G36" s="11" t="s">
        <v>115</v>
      </c>
      <c r="H36" s="10" t="s">
        <v>116</v>
      </c>
    </row>
    <row r="37" customFormat="false" ht="15" hidden="false" customHeight="false" outlineLevel="0" collapsed="false">
      <c r="A37" s="4" t="n">
        <v>5</v>
      </c>
      <c r="B37" s="6" t="s">
        <v>12</v>
      </c>
      <c r="C37" s="6" t="s">
        <v>84</v>
      </c>
      <c r="D37" s="6" t="s">
        <v>85</v>
      </c>
      <c r="E37" s="4" t="n">
        <v>10</v>
      </c>
      <c r="F37" s="7" t="s">
        <v>86</v>
      </c>
      <c r="G37" s="7" t="s">
        <v>87</v>
      </c>
      <c r="H37" s="6" t="s">
        <v>88</v>
      </c>
    </row>
    <row r="38" customFormat="false" ht="15" hidden="false" customHeight="false" outlineLevel="0" collapsed="false">
      <c r="A38" s="4"/>
      <c r="B38" s="6"/>
      <c r="C38" s="6" t="s">
        <v>85</v>
      </c>
      <c r="D38" s="6" t="s">
        <v>89</v>
      </c>
      <c r="E38" s="4" t="n">
        <v>15</v>
      </c>
      <c r="F38" s="7" t="s">
        <v>90</v>
      </c>
      <c r="G38" s="7" t="s">
        <v>91</v>
      </c>
      <c r="H38" s="6" t="s">
        <v>92</v>
      </c>
    </row>
    <row r="39" customFormat="false" ht="15" hidden="false" customHeight="false" outlineLevel="0" collapsed="false">
      <c r="A39" s="4"/>
      <c r="B39" s="6"/>
      <c r="C39" s="6" t="s">
        <v>89</v>
      </c>
      <c r="D39" s="6" t="s">
        <v>93</v>
      </c>
      <c r="E39" s="4" t="n">
        <v>35</v>
      </c>
      <c r="F39" s="7" t="s">
        <v>94</v>
      </c>
      <c r="G39" s="7" t="s">
        <v>95</v>
      </c>
      <c r="H39" s="6" t="s">
        <v>96</v>
      </c>
    </row>
    <row r="40" customFormat="false" ht="15" hidden="false" customHeight="false" outlineLevel="0" collapsed="false">
      <c r="A40" s="4"/>
      <c r="B40" s="6"/>
      <c r="C40" s="6" t="s">
        <v>93</v>
      </c>
      <c r="D40" s="6" t="s">
        <v>97</v>
      </c>
      <c r="E40" s="4" t="n">
        <v>10</v>
      </c>
      <c r="F40" s="7" t="s">
        <v>98</v>
      </c>
      <c r="G40" s="7" t="s">
        <v>99</v>
      </c>
      <c r="H40" s="6" t="s">
        <v>100</v>
      </c>
    </row>
    <row r="41" customFormat="false" ht="15" hidden="false" customHeight="false" outlineLevel="0" collapsed="false">
      <c r="A41" s="4"/>
      <c r="B41" s="6"/>
      <c r="C41" s="6" t="s">
        <v>97</v>
      </c>
      <c r="D41" s="6" t="s">
        <v>101</v>
      </c>
      <c r="E41" s="4" t="n">
        <v>30</v>
      </c>
      <c r="F41" s="7" t="s">
        <v>102</v>
      </c>
      <c r="G41" s="7" t="s">
        <v>103</v>
      </c>
      <c r="H41" s="6" t="s">
        <v>104</v>
      </c>
    </row>
    <row r="42" customFormat="false" ht="15" hidden="false" customHeight="false" outlineLevel="0" collapsed="false">
      <c r="A42" s="4"/>
      <c r="B42" s="6"/>
      <c r="C42" s="6" t="s">
        <v>101</v>
      </c>
      <c r="D42" s="6" t="s">
        <v>105</v>
      </c>
      <c r="E42" s="4" t="n">
        <v>25</v>
      </c>
      <c r="F42" s="7" t="s">
        <v>106</v>
      </c>
      <c r="G42" s="7" t="s">
        <v>107</v>
      </c>
      <c r="H42" s="6" t="s">
        <v>108</v>
      </c>
    </row>
    <row r="43" customFormat="false" ht="23.85" hidden="false" customHeight="false" outlineLevel="0" collapsed="false">
      <c r="A43" s="4"/>
      <c r="B43" s="6"/>
      <c r="C43" s="6" t="s">
        <v>105</v>
      </c>
      <c r="D43" s="6" t="s">
        <v>109</v>
      </c>
      <c r="E43" s="4" t="n">
        <v>40</v>
      </c>
      <c r="F43" s="7" t="s">
        <v>110</v>
      </c>
      <c r="G43" s="7" t="s">
        <v>120</v>
      </c>
      <c r="H43" s="6" t="s">
        <v>112</v>
      </c>
    </row>
    <row r="44" customFormat="false" ht="15" hidden="false" customHeight="false" outlineLevel="0" collapsed="false">
      <c r="A44" s="4"/>
      <c r="B44" s="6"/>
      <c r="C44" s="6" t="s">
        <v>109</v>
      </c>
      <c r="D44" s="6" t="s">
        <v>113</v>
      </c>
      <c r="E44" s="4" t="n">
        <v>15</v>
      </c>
      <c r="F44" s="7" t="s">
        <v>114</v>
      </c>
      <c r="G44" s="7" t="s">
        <v>115</v>
      </c>
      <c r="H44" s="6" t="s">
        <v>116</v>
      </c>
    </row>
    <row r="45" customFormat="false" ht="15" hidden="false" customHeight="false" outlineLevel="0" collapsed="false">
      <c r="A45" s="8" t="n">
        <v>6</v>
      </c>
      <c r="B45" s="10" t="s">
        <v>12</v>
      </c>
      <c r="C45" s="10" t="s">
        <v>84</v>
      </c>
      <c r="D45" s="10" t="s">
        <v>85</v>
      </c>
      <c r="E45" s="8" t="n">
        <v>10</v>
      </c>
      <c r="F45" s="11" t="s">
        <v>86</v>
      </c>
      <c r="G45" s="11" t="s">
        <v>87</v>
      </c>
      <c r="H45" s="10" t="s">
        <v>88</v>
      </c>
    </row>
    <row r="46" customFormat="false" ht="15" hidden="false" customHeight="false" outlineLevel="0" collapsed="false">
      <c r="A46" s="8"/>
      <c r="B46" s="10"/>
      <c r="C46" s="10" t="s">
        <v>85</v>
      </c>
      <c r="D46" s="10" t="s">
        <v>89</v>
      </c>
      <c r="E46" s="8" t="n">
        <v>15</v>
      </c>
      <c r="F46" s="11" t="s">
        <v>90</v>
      </c>
      <c r="G46" s="11" t="s">
        <v>91</v>
      </c>
      <c r="H46" s="10" t="s">
        <v>92</v>
      </c>
    </row>
    <row r="47" customFormat="false" ht="15" hidden="false" customHeight="false" outlineLevel="0" collapsed="false">
      <c r="A47" s="8"/>
      <c r="B47" s="10"/>
      <c r="C47" s="10" t="s">
        <v>89</v>
      </c>
      <c r="D47" s="10" t="s">
        <v>93</v>
      </c>
      <c r="E47" s="8" t="n">
        <v>35</v>
      </c>
      <c r="F47" s="11" t="s">
        <v>94</v>
      </c>
      <c r="G47" s="11" t="s">
        <v>95</v>
      </c>
      <c r="H47" s="10" t="s">
        <v>96</v>
      </c>
    </row>
    <row r="48" customFormat="false" ht="15" hidden="false" customHeight="false" outlineLevel="0" collapsed="false">
      <c r="A48" s="8"/>
      <c r="B48" s="10"/>
      <c r="C48" s="10" t="s">
        <v>93</v>
      </c>
      <c r="D48" s="10" t="s">
        <v>97</v>
      </c>
      <c r="E48" s="8" t="n">
        <v>10</v>
      </c>
      <c r="F48" s="11" t="s">
        <v>98</v>
      </c>
      <c r="G48" s="11" t="s">
        <v>99</v>
      </c>
      <c r="H48" s="10" t="s">
        <v>100</v>
      </c>
    </row>
    <row r="49" customFormat="false" ht="15" hidden="false" customHeight="false" outlineLevel="0" collapsed="false">
      <c r="A49" s="8"/>
      <c r="B49" s="10"/>
      <c r="C49" s="10" t="s">
        <v>97</v>
      </c>
      <c r="D49" s="10" t="s">
        <v>101</v>
      </c>
      <c r="E49" s="8" t="n">
        <v>30</v>
      </c>
      <c r="F49" s="11" t="s">
        <v>102</v>
      </c>
      <c r="G49" s="11" t="s">
        <v>103</v>
      </c>
      <c r="H49" s="10" t="s">
        <v>104</v>
      </c>
    </row>
    <row r="50" customFormat="false" ht="15" hidden="false" customHeight="false" outlineLevel="0" collapsed="false">
      <c r="A50" s="8"/>
      <c r="B50" s="10"/>
      <c r="C50" s="10" t="s">
        <v>101</v>
      </c>
      <c r="D50" s="10" t="s">
        <v>105</v>
      </c>
      <c r="E50" s="8" t="n">
        <v>25</v>
      </c>
      <c r="F50" s="11" t="s">
        <v>106</v>
      </c>
      <c r="G50" s="11" t="s">
        <v>107</v>
      </c>
      <c r="H50" s="10" t="s">
        <v>108</v>
      </c>
    </row>
    <row r="51" customFormat="false" ht="23.85" hidden="false" customHeight="false" outlineLevel="0" collapsed="false">
      <c r="A51" s="8"/>
      <c r="B51" s="10"/>
      <c r="C51" s="10" t="s">
        <v>105</v>
      </c>
      <c r="D51" s="10" t="s">
        <v>109</v>
      </c>
      <c r="E51" s="8" t="n">
        <v>40</v>
      </c>
      <c r="F51" s="11" t="s">
        <v>110</v>
      </c>
      <c r="G51" s="11" t="s">
        <v>121</v>
      </c>
      <c r="H51" s="10" t="s">
        <v>112</v>
      </c>
    </row>
    <row r="52" customFormat="false" ht="15" hidden="false" customHeight="false" outlineLevel="0" collapsed="false">
      <c r="A52" s="8"/>
      <c r="B52" s="10"/>
      <c r="C52" s="10" t="s">
        <v>109</v>
      </c>
      <c r="D52" s="10" t="s">
        <v>113</v>
      </c>
      <c r="E52" s="8" t="n">
        <v>15</v>
      </c>
      <c r="F52" s="11" t="s">
        <v>114</v>
      </c>
      <c r="G52" s="11" t="s">
        <v>115</v>
      </c>
      <c r="H52" s="10" t="s">
        <v>116</v>
      </c>
    </row>
    <row r="53" customFormat="false" ht="15" hidden="false" customHeight="false" outlineLevel="0" collapsed="false">
      <c r="A53" s="4" t="n">
        <v>7</v>
      </c>
      <c r="B53" s="6" t="s">
        <v>12</v>
      </c>
      <c r="C53" s="6" t="s">
        <v>84</v>
      </c>
      <c r="D53" s="6" t="s">
        <v>85</v>
      </c>
      <c r="E53" s="4" t="n">
        <v>10</v>
      </c>
      <c r="F53" s="7" t="s">
        <v>86</v>
      </c>
      <c r="G53" s="7" t="s">
        <v>87</v>
      </c>
      <c r="H53" s="6" t="s">
        <v>88</v>
      </c>
    </row>
    <row r="54" customFormat="false" ht="15" hidden="false" customHeight="false" outlineLevel="0" collapsed="false">
      <c r="A54" s="4"/>
      <c r="B54" s="6"/>
      <c r="C54" s="6" t="s">
        <v>85</v>
      </c>
      <c r="D54" s="6" t="s">
        <v>89</v>
      </c>
      <c r="E54" s="4" t="n">
        <v>15</v>
      </c>
      <c r="F54" s="7" t="s">
        <v>90</v>
      </c>
      <c r="G54" s="7" t="s">
        <v>91</v>
      </c>
      <c r="H54" s="6" t="s">
        <v>92</v>
      </c>
    </row>
    <row r="55" customFormat="false" ht="15" hidden="false" customHeight="false" outlineLevel="0" collapsed="false">
      <c r="A55" s="4"/>
      <c r="B55" s="6"/>
      <c r="C55" s="6" t="s">
        <v>89</v>
      </c>
      <c r="D55" s="6" t="s">
        <v>93</v>
      </c>
      <c r="E55" s="4" t="n">
        <v>35</v>
      </c>
      <c r="F55" s="7" t="s">
        <v>94</v>
      </c>
      <c r="G55" s="7" t="s">
        <v>95</v>
      </c>
      <c r="H55" s="6" t="s">
        <v>96</v>
      </c>
    </row>
    <row r="56" customFormat="false" ht="15" hidden="false" customHeight="false" outlineLevel="0" collapsed="false">
      <c r="A56" s="4"/>
      <c r="B56" s="6"/>
      <c r="C56" s="6" t="s">
        <v>93</v>
      </c>
      <c r="D56" s="6" t="s">
        <v>97</v>
      </c>
      <c r="E56" s="4" t="n">
        <v>10</v>
      </c>
      <c r="F56" s="7" t="s">
        <v>98</v>
      </c>
      <c r="G56" s="7" t="s">
        <v>99</v>
      </c>
      <c r="H56" s="6" t="s">
        <v>100</v>
      </c>
    </row>
    <row r="57" customFormat="false" ht="15" hidden="false" customHeight="false" outlineLevel="0" collapsed="false">
      <c r="A57" s="4"/>
      <c r="B57" s="6"/>
      <c r="C57" s="6" t="s">
        <v>97</v>
      </c>
      <c r="D57" s="6" t="s">
        <v>101</v>
      </c>
      <c r="E57" s="4" t="n">
        <v>30</v>
      </c>
      <c r="F57" s="7" t="s">
        <v>102</v>
      </c>
      <c r="G57" s="7" t="s">
        <v>103</v>
      </c>
      <c r="H57" s="6" t="s">
        <v>104</v>
      </c>
    </row>
    <row r="58" customFormat="false" ht="15" hidden="false" customHeight="false" outlineLevel="0" collapsed="false">
      <c r="A58" s="4"/>
      <c r="B58" s="6"/>
      <c r="C58" s="6" t="s">
        <v>101</v>
      </c>
      <c r="D58" s="6" t="s">
        <v>105</v>
      </c>
      <c r="E58" s="4" t="n">
        <v>25</v>
      </c>
      <c r="F58" s="7" t="s">
        <v>106</v>
      </c>
      <c r="G58" s="7" t="s">
        <v>107</v>
      </c>
      <c r="H58" s="6" t="s">
        <v>108</v>
      </c>
    </row>
    <row r="59" customFormat="false" ht="15" hidden="false" customHeight="false" outlineLevel="0" collapsed="false">
      <c r="A59" s="4"/>
      <c r="B59" s="6"/>
      <c r="C59" s="6" t="s">
        <v>105</v>
      </c>
      <c r="D59" s="6" t="s">
        <v>109</v>
      </c>
      <c r="E59" s="4" t="n">
        <v>40</v>
      </c>
      <c r="F59" s="7" t="s">
        <v>110</v>
      </c>
      <c r="G59" s="7" t="s">
        <v>122</v>
      </c>
      <c r="H59" s="6" t="s">
        <v>112</v>
      </c>
    </row>
    <row r="60" customFormat="false" ht="15" hidden="false" customHeight="false" outlineLevel="0" collapsed="false">
      <c r="A60" s="4"/>
      <c r="B60" s="6"/>
      <c r="C60" s="6" t="s">
        <v>109</v>
      </c>
      <c r="D60" s="6" t="s">
        <v>113</v>
      </c>
      <c r="E60" s="4" t="n">
        <v>15</v>
      </c>
      <c r="F60" s="7" t="s">
        <v>114</v>
      </c>
      <c r="G60" s="7" t="s">
        <v>115</v>
      </c>
      <c r="H60" s="6" t="s">
        <v>116</v>
      </c>
    </row>
    <row r="61" customFormat="false" ht="15" hidden="false" customHeight="false" outlineLevel="0" collapsed="false">
      <c r="A61" s="8" t="n">
        <v>8</v>
      </c>
      <c r="B61" s="10" t="s">
        <v>12</v>
      </c>
      <c r="C61" s="10" t="s">
        <v>84</v>
      </c>
      <c r="D61" s="10" t="s">
        <v>85</v>
      </c>
      <c r="E61" s="8" t="n">
        <v>10</v>
      </c>
      <c r="F61" s="11" t="s">
        <v>86</v>
      </c>
      <c r="G61" s="11" t="s">
        <v>87</v>
      </c>
      <c r="H61" s="10" t="s">
        <v>88</v>
      </c>
    </row>
    <row r="62" customFormat="false" ht="15" hidden="false" customHeight="false" outlineLevel="0" collapsed="false">
      <c r="A62" s="8"/>
      <c r="B62" s="10"/>
      <c r="C62" s="10" t="s">
        <v>85</v>
      </c>
      <c r="D62" s="10" t="s">
        <v>89</v>
      </c>
      <c r="E62" s="8" t="n">
        <v>15</v>
      </c>
      <c r="F62" s="11" t="s">
        <v>90</v>
      </c>
      <c r="G62" s="11" t="s">
        <v>91</v>
      </c>
      <c r="H62" s="10" t="s">
        <v>92</v>
      </c>
    </row>
    <row r="63" customFormat="false" ht="15" hidden="false" customHeight="false" outlineLevel="0" collapsed="false">
      <c r="A63" s="8"/>
      <c r="B63" s="10"/>
      <c r="C63" s="10" t="s">
        <v>89</v>
      </c>
      <c r="D63" s="10" t="s">
        <v>93</v>
      </c>
      <c r="E63" s="8" t="n">
        <v>35</v>
      </c>
      <c r="F63" s="11" t="s">
        <v>94</v>
      </c>
      <c r="G63" s="11" t="s">
        <v>95</v>
      </c>
      <c r="H63" s="10" t="s">
        <v>96</v>
      </c>
    </row>
    <row r="64" customFormat="false" ht="15" hidden="false" customHeight="false" outlineLevel="0" collapsed="false">
      <c r="A64" s="8"/>
      <c r="B64" s="10"/>
      <c r="C64" s="10" t="s">
        <v>93</v>
      </c>
      <c r="D64" s="10" t="s">
        <v>97</v>
      </c>
      <c r="E64" s="8" t="n">
        <v>10</v>
      </c>
      <c r="F64" s="11" t="s">
        <v>98</v>
      </c>
      <c r="G64" s="11" t="s">
        <v>99</v>
      </c>
      <c r="H64" s="10" t="s">
        <v>100</v>
      </c>
    </row>
    <row r="65" customFormat="false" ht="15" hidden="false" customHeight="false" outlineLevel="0" collapsed="false">
      <c r="A65" s="8"/>
      <c r="B65" s="10"/>
      <c r="C65" s="10" t="s">
        <v>97</v>
      </c>
      <c r="D65" s="10" t="s">
        <v>101</v>
      </c>
      <c r="E65" s="8" t="n">
        <v>30</v>
      </c>
      <c r="F65" s="11" t="s">
        <v>102</v>
      </c>
      <c r="G65" s="11" t="s">
        <v>103</v>
      </c>
      <c r="H65" s="10" t="s">
        <v>104</v>
      </c>
    </row>
    <row r="66" customFormat="false" ht="15" hidden="false" customHeight="false" outlineLevel="0" collapsed="false">
      <c r="A66" s="8"/>
      <c r="B66" s="10"/>
      <c r="C66" s="10" t="s">
        <v>101</v>
      </c>
      <c r="D66" s="10" t="s">
        <v>105</v>
      </c>
      <c r="E66" s="8" t="n">
        <v>25</v>
      </c>
      <c r="F66" s="11" t="s">
        <v>106</v>
      </c>
      <c r="G66" s="11" t="s">
        <v>107</v>
      </c>
      <c r="H66" s="10" t="s">
        <v>108</v>
      </c>
    </row>
    <row r="67" customFormat="false" ht="15" hidden="false" customHeight="false" outlineLevel="0" collapsed="false">
      <c r="A67" s="8"/>
      <c r="B67" s="10"/>
      <c r="C67" s="10" t="s">
        <v>105</v>
      </c>
      <c r="D67" s="10" t="s">
        <v>109</v>
      </c>
      <c r="E67" s="8" t="n">
        <v>40</v>
      </c>
      <c r="F67" s="11" t="s">
        <v>110</v>
      </c>
      <c r="G67" s="11" t="s">
        <v>123</v>
      </c>
      <c r="H67" s="10" t="s">
        <v>112</v>
      </c>
    </row>
    <row r="68" customFormat="false" ht="15" hidden="false" customHeight="false" outlineLevel="0" collapsed="false">
      <c r="A68" s="8"/>
      <c r="B68" s="10"/>
      <c r="C68" s="10" t="s">
        <v>109</v>
      </c>
      <c r="D68" s="10" t="s">
        <v>113</v>
      </c>
      <c r="E68" s="8" t="n">
        <v>15</v>
      </c>
      <c r="F68" s="11" t="s">
        <v>114</v>
      </c>
      <c r="G68" s="11" t="s">
        <v>115</v>
      </c>
      <c r="H68" s="10" t="s">
        <v>116</v>
      </c>
    </row>
    <row r="69" customFormat="false" ht="15" hidden="false" customHeight="false" outlineLevel="0" collapsed="false">
      <c r="A69" s="4" t="n">
        <v>9</v>
      </c>
      <c r="B69" s="6" t="s">
        <v>33</v>
      </c>
      <c r="C69" s="6" t="s">
        <v>84</v>
      </c>
      <c r="D69" s="6" t="s">
        <v>85</v>
      </c>
      <c r="E69" s="4" t="n">
        <v>10</v>
      </c>
      <c r="F69" s="7" t="s">
        <v>86</v>
      </c>
      <c r="G69" s="7" t="s">
        <v>124</v>
      </c>
      <c r="H69" s="6" t="s">
        <v>88</v>
      </c>
    </row>
    <row r="70" customFormat="false" ht="15" hidden="false" customHeight="false" outlineLevel="0" collapsed="false">
      <c r="A70" s="4"/>
      <c r="B70" s="6"/>
      <c r="C70" s="6" t="s">
        <v>85</v>
      </c>
      <c r="D70" s="6" t="s">
        <v>125</v>
      </c>
      <c r="E70" s="4" t="n">
        <v>45</v>
      </c>
      <c r="F70" s="7" t="s">
        <v>126</v>
      </c>
      <c r="G70" s="7" t="s">
        <v>127</v>
      </c>
      <c r="H70" s="6" t="s">
        <v>92</v>
      </c>
    </row>
    <row r="71" customFormat="false" ht="15" hidden="false" customHeight="false" outlineLevel="0" collapsed="false">
      <c r="A71" s="4"/>
      <c r="B71" s="6"/>
      <c r="C71" s="6" t="s">
        <v>125</v>
      </c>
      <c r="D71" s="6" t="s">
        <v>128</v>
      </c>
      <c r="E71" s="4" t="n">
        <v>10</v>
      </c>
      <c r="F71" s="7" t="s">
        <v>98</v>
      </c>
      <c r="G71" s="7" t="s">
        <v>99</v>
      </c>
      <c r="H71" s="6" t="s">
        <v>100</v>
      </c>
    </row>
    <row r="72" customFormat="false" ht="15" hidden="false" customHeight="false" outlineLevel="0" collapsed="false">
      <c r="A72" s="4"/>
      <c r="B72" s="6"/>
      <c r="C72" s="6" t="s">
        <v>128</v>
      </c>
      <c r="D72" s="6" t="s">
        <v>129</v>
      </c>
      <c r="E72" s="4" t="n">
        <v>45</v>
      </c>
      <c r="F72" s="7" t="s">
        <v>130</v>
      </c>
      <c r="G72" s="7" t="s">
        <v>131</v>
      </c>
      <c r="H72" s="6" t="s">
        <v>132</v>
      </c>
    </row>
    <row r="73" customFormat="false" ht="15" hidden="false" customHeight="false" outlineLevel="0" collapsed="false">
      <c r="A73" s="4"/>
      <c r="B73" s="6"/>
      <c r="C73" s="6" t="s">
        <v>129</v>
      </c>
      <c r="D73" s="6" t="s">
        <v>133</v>
      </c>
      <c r="E73" s="4" t="n">
        <v>30</v>
      </c>
      <c r="F73" s="7" t="s">
        <v>134</v>
      </c>
      <c r="G73" s="7" t="s">
        <v>135</v>
      </c>
      <c r="H73" s="6" t="s">
        <v>136</v>
      </c>
    </row>
    <row r="74" customFormat="false" ht="15" hidden="false" customHeight="false" outlineLevel="0" collapsed="false">
      <c r="A74" s="4"/>
      <c r="B74" s="6"/>
      <c r="C74" s="6" t="s">
        <v>133</v>
      </c>
      <c r="D74" s="6" t="s">
        <v>109</v>
      </c>
      <c r="E74" s="4" t="n">
        <v>25</v>
      </c>
      <c r="F74" s="7" t="s">
        <v>137</v>
      </c>
      <c r="G74" s="7" t="s">
        <v>138</v>
      </c>
      <c r="H74" s="6" t="s">
        <v>139</v>
      </c>
    </row>
    <row r="75" customFormat="false" ht="15" hidden="false" customHeight="false" outlineLevel="0" collapsed="false">
      <c r="A75" s="4"/>
      <c r="B75" s="6"/>
      <c r="C75" s="6" t="s">
        <v>109</v>
      </c>
      <c r="D75" s="6" t="s">
        <v>113</v>
      </c>
      <c r="E75" s="4" t="n">
        <v>15</v>
      </c>
      <c r="F75" s="7" t="s">
        <v>140</v>
      </c>
      <c r="G75" s="7" t="s">
        <v>141</v>
      </c>
      <c r="H75" s="6" t="s">
        <v>142</v>
      </c>
    </row>
    <row r="76" customFormat="false" ht="15" hidden="false" customHeight="false" outlineLevel="0" collapsed="false">
      <c r="A76" s="8" t="n">
        <v>10</v>
      </c>
      <c r="B76" s="10" t="s">
        <v>10</v>
      </c>
      <c r="C76" s="10" t="s">
        <v>84</v>
      </c>
      <c r="D76" s="10" t="s">
        <v>85</v>
      </c>
      <c r="E76" s="8" t="n">
        <v>10</v>
      </c>
      <c r="F76" s="11" t="s">
        <v>143</v>
      </c>
      <c r="G76" s="11" t="s">
        <v>144</v>
      </c>
      <c r="H76" s="10" t="s">
        <v>100</v>
      </c>
    </row>
    <row r="77" customFormat="false" ht="15" hidden="false" customHeight="false" outlineLevel="0" collapsed="false">
      <c r="A77" s="8"/>
      <c r="B77" s="10"/>
      <c r="C77" s="10" t="s">
        <v>85</v>
      </c>
      <c r="D77" s="10" t="s">
        <v>145</v>
      </c>
      <c r="E77" s="8" t="n">
        <v>150</v>
      </c>
      <c r="F77" s="11" t="s">
        <v>146</v>
      </c>
      <c r="G77" s="11" t="s">
        <v>147</v>
      </c>
      <c r="H77" s="10" t="s">
        <v>100</v>
      </c>
    </row>
    <row r="78" customFormat="false" ht="15" hidden="false" customHeight="false" outlineLevel="0" collapsed="false">
      <c r="A78" s="8"/>
      <c r="B78" s="10"/>
      <c r="C78" s="10" t="s">
        <v>145</v>
      </c>
      <c r="D78" s="10" t="s">
        <v>113</v>
      </c>
      <c r="E78" s="8" t="n">
        <v>20</v>
      </c>
      <c r="F78" s="11" t="s">
        <v>148</v>
      </c>
      <c r="G78" s="11" t="s">
        <v>149</v>
      </c>
      <c r="H78" s="10" t="s">
        <v>100</v>
      </c>
    </row>
    <row r="79" customFormat="false" ht="15" hidden="false" customHeight="false" outlineLevel="0" collapsed="false">
      <c r="A79" s="4" t="n">
        <v>11</v>
      </c>
      <c r="B79" s="6" t="s">
        <v>12</v>
      </c>
      <c r="C79" s="6" t="s">
        <v>84</v>
      </c>
      <c r="D79" s="6" t="s">
        <v>85</v>
      </c>
      <c r="E79" s="4" t="n">
        <v>10</v>
      </c>
      <c r="F79" s="7" t="s">
        <v>86</v>
      </c>
      <c r="G79" s="7" t="s">
        <v>87</v>
      </c>
      <c r="H79" s="6" t="s">
        <v>88</v>
      </c>
    </row>
    <row r="80" customFormat="false" ht="15" hidden="false" customHeight="false" outlineLevel="0" collapsed="false">
      <c r="A80" s="4"/>
      <c r="B80" s="6"/>
      <c r="C80" s="6" t="s">
        <v>85</v>
      </c>
      <c r="D80" s="6" t="s">
        <v>89</v>
      </c>
      <c r="E80" s="4" t="n">
        <v>15</v>
      </c>
      <c r="F80" s="7" t="s">
        <v>90</v>
      </c>
      <c r="G80" s="7" t="s">
        <v>91</v>
      </c>
      <c r="H80" s="6" t="s">
        <v>92</v>
      </c>
    </row>
    <row r="81" customFormat="false" ht="15" hidden="false" customHeight="false" outlineLevel="0" collapsed="false">
      <c r="A81" s="4"/>
      <c r="B81" s="6"/>
      <c r="C81" s="6" t="s">
        <v>89</v>
      </c>
      <c r="D81" s="6" t="s">
        <v>93</v>
      </c>
      <c r="E81" s="4" t="n">
        <v>35</v>
      </c>
      <c r="F81" s="7" t="s">
        <v>94</v>
      </c>
      <c r="G81" s="7" t="s">
        <v>95</v>
      </c>
      <c r="H81" s="6" t="s">
        <v>96</v>
      </c>
    </row>
    <row r="82" customFormat="false" ht="15" hidden="false" customHeight="false" outlineLevel="0" collapsed="false">
      <c r="A82" s="4"/>
      <c r="B82" s="6"/>
      <c r="C82" s="6" t="s">
        <v>93</v>
      </c>
      <c r="D82" s="6" t="s">
        <v>97</v>
      </c>
      <c r="E82" s="4" t="n">
        <v>10</v>
      </c>
      <c r="F82" s="7" t="s">
        <v>98</v>
      </c>
      <c r="G82" s="7" t="s">
        <v>99</v>
      </c>
      <c r="H82" s="6" t="s">
        <v>100</v>
      </c>
    </row>
    <row r="83" customFormat="false" ht="15" hidden="false" customHeight="false" outlineLevel="0" collapsed="false">
      <c r="A83" s="4"/>
      <c r="B83" s="6"/>
      <c r="C83" s="6" t="s">
        <v>97</v>
      </c>
      <c r="D83" s="6" t="s">
        <v>101</v>
      </c>
      <c r="E83" s="4" t="n">
        <v>30</v>
      </c>
      <c r="F83" s="7" t="s">
        <v>102</v>
      </c>
      <c r="G83" s="7" t="s">
        <v>103</v>
      </c>
      <c r="H83" s="6" t="s">
        <v>104</v>
      </c>
    </row>
    <row r="84" customFormat="false" ht="15" hidden="false" customHeight="false" outlineLevel="0" collapsed="false">
      <c r="A84" s="4"/>
      <c r="B84" s="6"/>
      <c r="C84" s="6" t="s">
        <v>101</v>
      </c>
      <c r="D84" s="6" t="s">
        <v>105</v>
      </c>
      <c r="E84" s="4" t="n">
        <v>25</v>
      </c>
      <c r="F84" s="7" t="s">
        <v>106</v>
      </c>
      <c r="G84" s="7" t="s">
        <v>107</v>
      </c>
      <c r="H84" s="6" t="s">
        <v>108</v>
      </c>
    </row>
    <row r="85" customFormat="false" ht="15" hidden="false" customHeight="false" outlineLevel="0" collapsed="false">
      <c r="A85" s="4"/>
      <c r="B85" s="6"/>
      <c r="C85" s="6" t="s">
        <v>105</v>
      </c>
      <c r="D85" s="6" t="s">
        <v>109</v>
      </c>
      <c r="E85" s="4" t="n">
        <v>40</v>
      </c>
      <c r="F85" s="7" t="s">
        <v>110</v>
      </c>
      <c r="G85" s="7" t="s">
        <v>150</v>
      </c>
      <c r="H85" s="6" t="s">
        <v>112</v>
      </c>
    </row>
    <row r="86" customFormat="false" ht="15" hidden="false" customHeight="false" outlineLevel="0" collapsed="false">
      <c r="A86" s="4"/>
      <c r="B86" s="6"/>
      <c r="C86" s="6" t="s">
        <v>109</v>
      </c>
      <c r="D86" s="6" t="s">
        <v>113</v>
      </c>
      <c r="E86" s="4" t="n">
        <v>15</v>
      </c>
      <c r="F86" s="7" t="s">
        <v>114</v>
      </c>
      <c r="G86" s="7" t="s">
        <v>115</v>
      </c>
      <c r="H86" s="6" t="s">
        <v>116</v>
      </c>
    </row>
    <row r="87" customFormat="false" ht="15" hidden="false" customHeight="false" outlineLevel="0" collapsed="false">
      <c r="A87" s="8" t="n">
        <v>12</v>
      </c>
      <c r="B87" s="10" t="s">
        <v>12</v>
      </c>
      <c r="C87" s="10" t="s">
        <v>84</v>
      </c>
      <c r="D87" s="10" t="s">
        <v>85</v>
      </c>
      <c r="E87" s="8" t="n">
        <v>10</v>
      </c>
      <c r="F87" s="11" t="s">
        <v>86</v>
      </c>
      <c r="G87" s="11" t="s">
        <v>87</v>
      </c>
      <c r="H87" s="10" t="s">
        <v>88</v>
      </c>
    </row>
    <row r="88" customFormat="false" ht="15" hidden="false" customHeight="false" outlineLevel="0" collapsed="false">
      <c r="A88" s="8"/>
      <c r="B88" s="10"/>
      <c r="C88" s="10" t="s">
        <v>85</v>
      </c>
      <c r="D88" s="10" t="s">
        <v>89</v>
      </c>
      <c r="E88" s="8" t="n">
        <v>15</v>
      </c>
      <c r="F88" s="11" t="s">
        <v>90</v>
      </c>
      <c r="G88" s="11" t="s">
        <v>91</v>
      </c>
      <c r="H88" s="10" t="s">
        <v>92</v>
      </c>
    </row>
    <row r="89" customFormat="false" ht="15" hidden="false" customHeight="false" outlineLevel="0" collapsed="false">
      <c r="A89" s="8"/>
      <c r="B89" s="10"/>
      <c r="C89" s="10" t="s">
        <v>89</v>
      </c>
      <c r="D89" s="10" t="s">
        <v>93</v>
      </c>
      <c r="E89" s="8" t="n">
        <v>35</v>
      </c>
      <c r="F89" s="11" t="s">
        <v>94</v>
      </c>
      <c r="G89" s="11" t="s">
        <v>95</v>
      </c>
      <c r="H89" s="10" t="s">
        <v>96</v>
      </c>
    </row>
    <row r="90" customFormat="false" ht="15" hidden="false" customHeight="false" outlineLevel="0" collapsed="false">
      <c r="A90" s="8"/>
      <c r="B90" s="10"/>
      <c r="C90" s="10" t="s">
        <v>93</v>
      </c>
      <c r="D90" s="10" t="s">
        <v>97</v>
      </c>
      <c r="E90" s="8" t="n">
        <v>10</v>
      </c>
      <c r="F90" s="11" t="s">
        <v>98</v>
      </c>
      <c r="G90" s="11" t="s">
        <v>99</v>
      </c>
      <c r="H90" s="10" t="s">
        <v>100</v>
      </c>
    </row>
    <row r="91" customFormat="false" ht="15" hidden="false" customHeight="false" outlineLevel="0" collapsed="false">
      <c r="A91" s="8"/>
      <c r="B91" s="10"/>
      <c r="C91" s="10" t="s">
        <v>97</v>
      </c>
      <c r="D91" s="10" t="s">
        <v>101</v>
      </c>
      <c r="E91" s="8" t="n">
        <v>30</v>
      </c>
      <c r="F91" s="11" t="s">
        <v>102</v>
      </c>
      <c r="G91" s="11" t="s">
        <v>103</v>
      </c>
      <c r="H91" s="10" t="s">
        <v>104</v>
      </c>
    </row>
    <row r="92" customFormat="false" ht="15" hidden="false" customHeight="false" outlineLevel="0" collapsed="false">
      <c r="A92" s="8"/>
      <c r="B92" s="10"/>
      <c r="C92" s="10" t="s">
        <v>101</v>
      </c>
      <c r="D92" s="10" t="s">
        <v>105</v>
      </c>
      <c r="E92" s="8" t="n">
        <v>25</v>
      </c>
      <c r="F92" s="11" t="s">
        <v>106</v>
      </c>
      <c r="G92" s="11" t="s">
        <v>107</v>
      </c>
      <c r="H92" s="10" t="s">
        <v>108</v>
      </c>
    </row>
    <row r="93" customFormat="false" ht="23.85" hidden="false" customHeight="false" outlineLevel="0" collapsed="false">
      <c r="A93" s="8"/>
      <c r="B93" s="10"/>
      <c r="C93" s="10" t="s">
        <v>105</v>
      </c>
      <c r="D93" s="10" t="s">
        <v>109</v>
      </c>
      <c r="E93" s="8" t="n">
        <v>40</v>
      </c>
      <c r="F93" s="11" t="s">
        <v>110</v>
      </c>
      <c r="G93" s="11" t="s">
        <v>151</v>
      </c>
      <c r="H93" s="10" t="s">
        <v>112</v>
      </c>
    </row>
    <row r="94" customFormat="false" ht="15" hidden="false" customHeight="false" outlineLevel="0" collapsed="false">
      <c r="A94" s="8"/>
      <c r="B94" s="10"/>
      <c r="C94" s="10" t="s">
        <v>109</v>
      </c>
      <c r="D94" s="10" t="s">
        <v>113</v>
      </c>
      <c r="E94" s="8" t="n">
        <v>15</v>
      </c>
      <c r="F94" s="11" t="s">
        <v>114</v>
      </c>
      <c r="G94" s="11" t="s">
        <v>115</v>
      </c>
      <c r="H94" s="10" t="s">
        <v>116</v>
      </c>
    </row>
    <row r="95" customFormat="false" ht="15" hidden="false" customHeight="false" outlineLevel="0" collapsed="false">
      <c r="A95" s="4" t="n">
        <v>13</v>
      </c>
      <c r="B95" s="6" t="s">
        <v>12</v>
      </c>
      <c r="C95" s="6" t="s">
        <v>84</v>
      </c>
      <c r="D95" s="6" t="s">
        <v>85</v>
      </c>
      <c r="E95" s="4" t="n">
        <v>10</v>
      </c>
      <c r="F95" s="7" t="s">
        <v>86</v>
      </c>
      <c r="G95" s="7" t="s">
        <v>87</v>
      </c>
      <c r="H95" s="6" t="s">
        <v>88</v>
      </c>
    </row>
    <row r="96" customFormat="false" ht="15" hidden="false" customHeight="false" outlineLevel="0" collapsed="false">
      <c r="A96" s="4"/>
      <c r="B96" s="6"/>
      <c r="C96" s="6" t="s">
        <v>85</v>
      </c>
      <c r="D96" s="6" t="s">
        <v>89</v>
      </c>
      <c r="E96" s="4" t="n">
        <v>15</v>
      </c>
      <c r="F96" s="7" t="s">
        <v>90</v>
      </c>
      <c r="G96" s="7" t="s">
        <v>91</v>
      </c>
      <c r="H96" s="6" t="s">
        <v>92</v>
      </c>
    </row>
    <row r="97" customFormat="false" ht="15" hidden="false" customHeight="false" outlineLevel="0" collapsed="false">
      <c r="A97" s="4"/>
      <c r="B97" s="6"/>
      <c r="C97" s="6" t="s">
        <v>89</v>
      </c>
      <c r="D97" s="6" t="s">
        <v>93</v>
      </c>
      <c r="E97" s="4" t="n">
        <v>35</v>
      </c>
      <c r="F97" s="7" t="s">
        <v>94</v>
      </c>
      <c r="G97" s="7" t="s">
        <v>95</v>
      </c>
      <c r="H97" s="6" t="s">
        <v>96</v>
      </c>
    </row>
    <row r="98" customFormat="false" ht="15" hidden="false" customHeight="false" outlineLevel="0" collapsed="false">
      <c r="A98" s="4"/>
      <c r="B98" s="6"/>
      <c r="C98" s="6" t="s">
        <v>93</v>
      </c>
      <c r="D98" s="6" t="s">
        <v>97</v>
      </c>
      <c r="E98" s="4" t="n">
        <v>10</v>
      </c>
      <c r="F98" s="7" t="s">
        <v>98</v>
      </c>
      <c r="G98" s="7" t="s">
        <v>99</v>
      </c>
      <c r="H98" s="6" t="s">
        <v>100</v>
      </c>
    </row>
    <row r="99" customFormat="false" ht="15" hidden="false" customHeight="false" outlineLevel="0" collapsed="false">
      <c r="A99" s="4"/>
      <c r="B99" s="6"/>
      <c r="C99" s="6" t="s">
        <v>97</v>
      </c>
      <c r="D99" s="6" t="s">
        <v>101</v>
      </c>
      <c r="E99" s="4" t="n">
        <v>30</v>
      </c>
      <c r="F99" s="7" t="s">
        <v>102</v>
      </c>
      <c r="G99" s="7" t="s">
        <v>103</v>
      </c>
      <c r="H99" s="6" t="s">
        <v>104</v>
      </c>
    </row>
    <row r="100" customFormat="false" ht="15" hidden="false" customHeight="false" outlineLevel="0" collapsed="false">
      <c r="A100" s="4"/>
      <c r="B100" s="6"/>
      <c r="C100" s="6" t="s">
        <v>101</v>
      </c>
      <c r="D100" s="6" t="s">
        <v>105</v>
      </c>
      <c r="E100" s="4" t="n">
        <v>25</v>
      </c>
      <c r="F100" s="7" t="s">
        <v>106</v>
      </c>
      <c r="G100" s="7" t="s">
        <v>107</v>
      </c>
      <c r="H100" s="6" t="s">
        <v>108</v>
      </c>
    </row>
    <row r="101" customFormat="false" ht="15" hidden="false" customHeight="false" outlineLevel="0" collapsed="false">
      <c r="A101" s="4"/>
      <c r="B101" s="6"/>
      <c r="C101" s="6" t="s">
        <v>105</v>
      </c>
      <c r="D101" s="6" t="s">
        <v>109</v>
      </c>
      <c r="E101" s="4" t="n">
        <v>40</v>
      </c>
      <c r="F101" s="7" t="s">
        <v>110</v>
      </c>
      <c r="G101" s="7" t="s">
        <v>152</v>
      </c>
      <c r="H101" s="6" t="s">
        <v>112</v>
      </c>
    </row>
    <row r="102" customFormat="false" ht="15" hidden="false" customHeight="false" outlineLevel="0" collapsed="false">
      <c r="A102" s="4"/>
      <c r="B102" s="6"/>
      <c r="C102" s="6" t="s">
        <v>109</v>
      </c>
      <c r="D102" s="6" t="s">
        <v>113</v>
      </c>
      <c r="E102" s="4" t="n">
        <v>15</v>
      </c>
      <c r="F102" s="7" t="s">
        <v>114</v>
      </c>
      <c r="G102" s="7" t="s">
        <v>115</v>
      </c>
      <c r="H102" s="6" t="s">
        <v>116</v>
      </c>
    </row>
    <row r="103" customFormat="false" ht="15" hidden="false" customHeight="false" outlineLevel="0" collapsed="false">
      <c r="A103" s="8" t="n">
        <v>14</v>
      </c>
      <c r="B103" s="10" t="s">
        <v>12</v>
      </c>
      <c r="C103" s="10" t="s">
        <v>84</v>
      </c>
      <c r="D103" s="10" t="s">
        <v>85</v>
      </c>
      <c r="E103" s="8" t="n">
        <v>10</v>
      </c>
      <c r="F103" s="11" t="s">
        <v>86</v>
      </c>
      <c r="G103" s="11" t="s">
        <v>87</v>
      </c>
      <c r="H103" s="10" t="s">
        <v>88</v>
      </c>
    </row>
    <row r="104" customFormat="false" ht="15" hidden="false" customHeight="false" outlineLevel="0" collapsed="false">
      <c r="A104" s="8"/>
      <c r="B104" s="10"/>
      <c r="C104" s="10" t="s">
        <v>85</v>
      </c>
      <c r="D104" s="10" t="s">
        <v>89</v>
      </c>
      <c r="E104" s="8" t="n">
        <v>15</v>
      </c>
      <c r="F104" s="11" t="s">
        <v>90</v>
      </c>
      <c r="G104" s="11" t="s">
        <v>91</v>
      </c>
      <c r="H104" s="10" t="s">
        <v>92</v>
      </c>
    </row>
    <row r="105" customFormat="false" ht="15" hidden="false" customHeight="false" outlineLevel="0" collapsed="false">
      <c r="A105" s="8"/>
      <c r="B105" s="10"/>
      <c r="C105" s="10" t="s">
        <v>89</v>
      </c>
      <c r="D105" s="10" t="s">
        <v>93</v>
      </c>
      <c r="E105" s="8" t="n">
        <v>35</v>
      </c>
      <c r="F105" s="11" t="s">
        <v>94</v>
      </c>
      <c r="G105" s="11" t="s">
        <v>95</v>
      </c>
      <c r="H105" s="10" t="s">
        <v>96</v>
      </c>
    </row>
    <row r="106" customFormat="false" ht="15" hidden="false" customHeight="false" outlineLevel="0" collapsed="false">
      <c r="A106" s="8"/>
      <c r="B106" s="10"/>
      <c r="C106" s="10" t="s">
        <v>93</v>
      </c>
      <c r="D106" s="10" t="s">
        <v>97</v>
      </c>
      <c r="E106" s="8" t="n">
        <v>10</v>
      </c>
      <c r="F106" s="11" t="s">
        <v>98</v>
      </c>
      <c r="G106" s="11" t="s">
        <v>99</v>
      </c>
      <c r="H106" s="10" t="s">
        <v>100</v>
      </c>
    </row>
    <row r="107" customFormat="false" ht="15" hidden="false" customHeight="false" outlineLevel="0" collapsed="false">
      <c r="A107" s="8"/>
      <c r="B107" s="10"/>
      <c r="C107" s="10" t="s">
        <v>97</v>
      </c>
      <c r="D107" s="10" t="s">
        <v>101</v>
      </c>
      <c r="E107" s="8" t="n">
        <v>30</v>
      </c>
      <c r="F107" s="11" t="s">
        <v>102</v>
      </c>
      <c r="G107" s="11" t="s">
        <v>103</v>
      </c>
      <c r="H107" s="10" t="s">
        <v>104</v>
      </c>
    </row>
    <row r="108" customFormat="false" ht="15" hidden="false" customHeight="false" outlineLevel="0" collapsed="false">
      <c r="A108" s="8"/>
      <c r="B108" s="10"/>
      <c r="C108" s="10" t="s">
        <v>101</v>
      </c>
      <c r="D108" s="10" t="s">
        <v>105</v>
      </c>
      <c r="E108" s="8" t="n">
        <v>25</v>
      </c>
      <c r="F108" s="11" t="s">
        <v>106</v>
      </c>
      <c r="G108" s="11" t="s">
        <v>107</v>
      </c>
      <c r="H108" s="10" t="s">
        <v>108</v>
      </c>
    </row>
    <row r="109" customFormat="false" ht="23.85" hidden="false" customHeight="false" outlineLevel="0" collapsed="false">
      <c r="A109" s="8"/>
      <c r="B109" s="10"/>
      <c r="C109" s="10" t="s">
        <v>105</v>
      </c>
      <c r="D109" s="10" t="s">
        <v>109</v>
      </c>
      <c r="E109" s="8" t="n">
        <v>40</v>
      </c>
      <c r="F109" s="11" t="s">
        <v>110</v>
      </c>
      <c r="G109" s="11" t="s">
        <v>153</v>
      </c>
      <c r="H109" s="10" t="s">
        <v>112</v>
      </c>
    </row>
    <row r="110" customFormat="false" ht="15" hidden="false" customHeight="false" outlineLevel="0" collapsed="false">
      <c r="A110" s="8"/>
      <c r="B110" s="10"/>
      <c r="C110" s="10" t="s">
        <v>109</v>
      </c>
      <c r="D110" s="10" t="s">
        <v>113</v>
      </c>
      <c r="E110" s="8" t="n">
        <v>15</v>
      </c>
      <c r="F110" s="11" t="s">
        <v>114</v>
      </c>
      <c r="G110" s="11" t="s">
        <v>115</v>
      </c>
      <c r="H110" s="10" t="s">
        <v>116</v>
      </c>
    </row>
    <row r="111" customFormat="false" ht="15" hidden="false" customHeight="false" outlineLevel="0" collapsed="false">
      <c r="A111" s="4" t="n">
        <v>15</v>
      </c>
      <c r="B111" s="6" t="s">
        <v>12</v>
      </c>
      <c r="C111" s="6" t="s">
        <v>84</v>
      </c>
      <c r="D111" s="6" t="s">
        <v>85</v>
      </c>
      <c r="E111" s="4" t="n">
        <v>10</v>
      </c>
      <c r="F111" s="7" t="s">
        <v>86</v>
      </c>
      <c r="G111" s="7" t="s">
        <v>87</v>
      </c>
      <c r="H111" s="6" t="s">
        <v>88</v>
      </c>
    </row>
    <row r="112" customFormat="false" ht="15" hidden="false" customHeight="false" outlineLevel="0" collapsed="false">
      <c r="A112" s="4"/>
      <c r="B112" s="6"/>
      <c r="C112" s="6" t="s">
        <v>85</v>
      </c>
      <c r="D112" s="6" t="s">
        <v>89</v>
      </c>
      <c r="E112" s="4" t="n">
        <v>15</v>
      </c>
      <c r="F112" s="7" t="s">
        <v>90</v>
      </c>
      <c r="G112" s="7" t="s">
        <v>91</v>
      </c>
      <c r="H112" s="6" t="s">
        <v>92</v>
      </c>
    </row>
    <row r="113" customFormat="false" ht="15" hidden="false" customHeight="false" outlineLevel="0" collapsed="false">
      <c r="A113" s="4"/>
      <c r="B113" s="6"/>
      <c r="C113" s="6" t="s">
        <v>89</v>
      </c>
      <c r="D113" s="6" t="s">
        <v>93</v>
      </c>
      <c r="E113" s="4" t="n">
        <v>35</v>
      </c>
      <c r="F113" s="7" t="s">
        <v>94</v>
      </c>
      <c r="G113" s="7" t="s">
        <v>95</v>
      </c>
      <c r="H113" s="6" t="s">
        <v>96</v>
      </c>
    </row>
    <row r="114" customFormat="false" ht="15" hidden="false" customHeight="false" outlineLevel="0" collapsed="false">
      <c r="A114" s="4"/>
      <c r="B114" s="6"/>
      <c r="C114" s="6" t="s">
        <v>93</v>
      </c>
      <c r="D114" s="6" t="s">
        <v>97</v>
      </c>
      <c r="E114" s="4" t="n">
        <v>10</v>
      </c>
      <c r="F114" s="7" t="s">
        <v>98</v>
      </c>
      <c r="G114" s="7" t="s">
        <v>99</v>
      </c>
      <c r="H114" s="6" t="s">
        <v>100</v>
      </c>
    </row>
    <row r="115" customFormat="false" ht="15" hidden="false" customHeight="false" outlineLevel="0" collapsed="false">
      <c r="A115" s="4"/>
      <c r="B115" s="6"/>
      <c r="C115" s="6" t="s">
        <v>97</v>
      </c>
      <c r="D115" s="6" t="s">
        <v>101</v>
      </c>
      <c r="E115" s="4" t="n">
        <v>30</v>
      </c>
      <c r="F115" s="7" t="s">
        <v>102</v>
      </c>
      <c r="G115" s="7" t="s">
        <v>103</v>
      </c>
      <c r="H115" s="6" t="s">
        <v>104</v>
      </c>
    </row>
    <row r="116" customFormat="false" ht="15" hidden="false" customHeight="false" outlineLevel="0" collapsed="false">
      <c r="A116" s="4"/>
      <c r="B116" s="6"/>
      <c r="C116" s="6" t="s">
        <v>101</v>
      </c>
      <c r="D116" s="6" t="s">
        <v>105</v>
      </c>
      <c r="E116" s="4" t="n">
        <v>25</v>
      </c>
      <c r="F116" s="7" t="s">
        <v>106</v>
      </c>
      <c r="G116" s="7" t="s">
        <v>107</v>
      </c>
      <c r="H116" s="6" t="s">
        <v>108</v>
      </c>
    </row>
    <row r="117" customFormat="false" ht="15" hidden="false" customHeight="false" outlineLevel="0" collapsed="false">
      <c r="A117" s="4"/>
      <c r="B117" s="6"/>
      <c r="C117" s="6" t="s">
        <v>105</v>
      </c>
      <c r="D117" s="6" t="s">
        <v>109</v>
      </c>
      <c r="E117" s="4" t="n">
        <v>40</v>
      </c>
      <c r="F117" s="7" t="s">
        <v>110</v>
      </c>
      <c r="G117" s="7" t="s">
        <v>154</v>
      </c>
      <c r="H117" s="6" t="s">
        <v>112</v>
      </c>
    </row>
    <row r="118" customFormat="false" ht="15" hidden="false" customHeight="false" outlineLevel="0" collapsed="false">
      <c r="A118" s="4"/>
      <c r="B118" s="6"/>
      <c r="C118" s="6" t="s">
        <v>109</v>
      </c>
      <c r="D118" s="6" t="s">
        <v>113</v>
      </c>
      <c r="E118" s="4" t="n">
        <v>15</v>
      </c>
      <c r="F118" s="7" t="s">
        <v>114</v>
      </c>
      <c r="G118" s="7" t="s">
        <v>115</v>
      </c>
      <c r="H118" s="6" t="s">
        <v>116</v>
      </c>
    </row>
    <row r="119" customFormat="false" ht="15" hidden="false" customHeight="false" outlineLevel="0" collapsed="false">
      <c r="A119" s="8" t="n">
        <v>16</v>
      </c>
      <c r="B119" s="10" t="s">
        <v>12</v>
      </c>
      <c r="C119" s="10" t="s">
        <v>84</v>
      </c>
      <c r="D119" s="10" t="s">
        <v>85</v>
      </c>
      <c r="E119" s="8" t="n">
        <v>10</v>
      </c>
      <c r="F119" s="11" t="s">
        <v>86</v>
      </c>
      <c r="G119" s="11" t="s">
        <v>87</v>
      </c>
      <c r="H119" s="10" t="s">
        <v>88</v>
      </c>
    </row>
    <row r="120" customFormat="false" ht="15" hidden="false" customHeight="false" outlineLevel="0" collapsed="false">
      <c r="A120" s="8"/>
      <c r="B120" s="10"/>
      <c r="C120" s="10" t="s">
        <v>85</v>
      </c>
      <c r="D120" s="10" t="s">
        <v>89</v>
      </c>
      <c r="E120" s="8" t="n">
        <v>15</v>
      </c>
      <c r="F120" s="11" t="s">
        <v>90</v>
      </c>
      <c r="G120" s="11" t="s">
        <v>91</v>
      </c>
      <c r="H120" s="10" t="s">
        <v>92</v>
      </c>
    </row>
    <row r="121" customFormat="false" ht="15" hidden="false" customHeight="false" outlineLevel="0" collapsed="false">
      <c r="A121" s="8"/>
      <c r="B121" s="10"/>
      <c r="C121" s="10" t="s">
        <v>89</v>
      </c>
      <c r="D121" s="10" t="s">
        <v>93</v>
      </c>
      <c r="E121" s="8" t="n">
        <v>35</v>
      </c>
      <c r="F121" s="11" t="s">
        <v>94</v>
      </c>
      <c r="G121" s="11" t="s">
        <v>95</v>
      </c>
      <c r="H121" s="10" t="s">
        <v>96</v>
      </c>
    </row>
    <row r="122" customFormat="false" ht="15" hidden="false" customHeight="false" outlineLevel="0" collapsed="false">
      <c r="A122" s="8"/>
      <c r="B122" s="10"/>
      <c r="C122" s="10" t="s">
        <v>93</v>
      </c>
      <c r="D122" s="10" t="s">
        <v>97</v>
      </c>
      <c r="E122" s="8" t="n">
        <v>10</v>
      </c>
      <c r="F122" s="11" t="s">
        <v>98</v>
      </c>
      <c r="G122" s="11" t="s">
        <v>99</v>
      </c>
      <c r="H122" s="10" t="s">
        <v>100</v>
      </c>
    </row>
    <row r="123" customFormat="false" ht="15" hidden="false" customHeight="false" outlineLevel="0" collapsed="false">
      <c r="A123" s="8"/>
      <c r="B123" s="10"/>
      <c r="C123" s="10" t="s">
        <v>97</v>
      </c>
      <c r="D123" s="10" t="s">
        <v>101</v>
      </c>
      <c r="E123" s="8" t="n">
        <v>30</v>
      </c>
      <c r="F123" s="11" t="s">
        <v>102</v>
      </c>
      <c r="G123" s="11" t="s">
        <v>103</v>
      </c>
      <c r="H123" s="10" t="s">
        <v>104</v>
      </c>
    </row>
    <row r="124" customFormat="false" ht="15" hidden="false" customHeight="false" outlineLevel="0" collapsed="false">
      <c r="A124" s="8"/>
      <c r="B124" s="10"/>
      <c r="C124" s="10" t="s">
        <v>101</v>
      </c>
      <c r="D124" s="10" t="s">
        <v>105</v>
      </c>
      <c r="E124" s="8" t="n">
        <v>25</v>
      </c>
      <c r="F124" s="11" t="s">
        <v>106</v>
      </c>
      <c r="G124" s="11" t="s">
        <v>107</v>
      </c>
      <c r="H124" s="10" t="s">
        <v>108</v>
      </c>
    </row>
    <row r="125" customFormat="false" ht="15" hidden="false" customHeight="false" outlineLevel="0" collapsed="false">
      <c r="A125" s="8"/>
      <c r="B125" s="10"/>
      <c r="C125" s="10" t="s">
        <v>105</v>
      </c>
      <c r="D125" s="10" t="s">
        <v>109</v>
      </c>
      <c r="E125" s="8" t="n">
        <v>40</v>
      </c>
      <c r="F125" s="11" t="s">
        <v>110</v>
      </c>
      <c r="G125" s="11" t="s">
        <v>155</v>
      </c>
      <c r="H125" s="10" t="s">
        <v>112</v>
      </c>
    </row>
    <row r="126" customFormat="false" ht="15" hidden="false" customHeight="false" outlineLevel="0" collapsed="false">
      <c r="A126" s="8"/>
      <c r="B126" s="10"/>
      <c r="C126" s="10" t="s">
        <v>109</v>
      </c>
      <c r="D126" s="10" t="s">
        <v>113</v>
      </c>
      <c r="E126" s="8" t="n">
        <v>15</v>
      </c>
      <c r="F126" s="11" t="s">
        <v>114</v>
      </c>
      <c r="G126" s="11" t="s">
        <v>115</v>
      </c>
      <c r="H126" s="10" t="s">
        <v>116</v>
      </c>
    </row>
    <row r="127" customFormat="false" ht="15" hidden="false" customHeight="false" outlineLevel="0" collapsed="false">
      <c r="A127" s="4" t="n">
        <v>17</v>
      </c>
      <c r="B127" s="6" t="s">
        <v>33</v>
      </c>
      <c r="C127" s="6" t="s">
        <v>84</v>
      </c>
      <c r="D127" s="6" t="s">
        <v>85</v>
      </c>
      <c r="E127" s="4" t="n">
        <v>10</v>
      </c>
      <c r="F127" s="7" t="s">
        <v>86</v>
      </c>
      <c r="G127" s="7" t="s">
        <v>124</v>
      </c>
      <c r="H127" s="6" t="s">
        <v>88</v>
      </c>
    </row>
    <row r="128" customFormat="false" ht="15" hidden="false" customHeight="false" outlineLevel="0" collapsed="false">
      <c r="A128" s="4"/>
      <c r="B128" s="6"/>
      <c r="C128" s="6" t="s">
        <v>85</v>
      </c>
      <c r="D128" s="6" t="s">
        <v>125</v>
      </c>
      <c r="E128" s="4" t="n">
        <v>45</v>
      </c>
      <c r="F128" s="7" t="s">
        <v>126</v>
      </c>
      <c r="G128" s="7" t="s">
        <v>127</v>
      </c>
      <c r="H128" s="6" t="s">
        <v>92</v>
      </c>
    </row>
    <row r="129" customFormat="false" ht="15" hidden="false" customHeight="false" outlineLevel="0" collapsed="false">
      <c r="A129" s="4"/>
      <c r="B129" s="6"/>
      <c r="C129" s="6" t="s">
        <v>125</v>
      </c>
      <c r="D129" s="6" t="s">
        <v>128</v>
      </c>
      <c r="E129" s="4" t="n">
        <v>10</v>
      </c>
      <c r="F129" s="7" t="s">
        <v>98</v>
      </c>
      <c r="G129" s="7" t="s">
        <v>99</v>
      </c>
      <c r="H129" s="6" t="s">
        <v>100</v>
      </c>
    </row>
    <row r="130" customFormat="false" ht="15" hidden="false" customHeight="false" outlineLevel="0" collapsed="false">
      <c r="A130" s="4"/>
      <c r="B130" s="6"/>
      <c r="C130" s="6" t="s">
        <v>128</v>
      </c>
      <c r="D130" s="6" t="s">
        <v>129</v>
      </c>
      <c r="E130" s="4" t="n">
        <v>45</v>
      </c>
      <c r="F130" s="7" t="s">
        <v>130</v>
      </c>
      <c r="G130" s="7" t="s">
        <v>131</v>
      </c>
      <c r="H130" s="6" t="s">
        <v>132</v>
      </c>
    </row>
    <row r="131" customFormat="false" ht="15" hidden="false" customHeight="false" outlineLevel="0" collapsed="false">
      <c r="A131" s="4"/>
      <c r="B131" s="6"/>
      <c r="C131" s="6" t="s">
        <v>129</v>
      </c>
      <c r="D131" s="6" t="s">
        <v>133</v>
      </c>
      <c r="E131" s="4" t="n">
        <v>30</v>
      </c>
      <c r="F131" s="7" t="s">
        <v>134</v>
      </c>
      <c r="G131" s="7" t="s">
        <v>135</v>
      </c>
      <c r="H131" s="6" t="s">
        <v>136</v>
      </c>
    </row>
    <row r="132" customFormat="false" ht="15" hidden="false" customHeight="false" outlineLevel="0" collapsed="false">
      <c r="A132" s="4"/>
      <c r="B132" s="6"/>
      <c r="C132" s="6" t="s">
        <v>133</v>
      </c>
      <c r="D132" s="6" t="s">
        <v>109</v>
      </c>
      <c r="E132" s="4" t="n">
        <v>25</v>
      </c>
      <c r="F132" s="7" t="s">
        <v>137</v>
      </c>
      <c r="G132" s="7" t="s">
        <v>138</v>
      </c>
      <c r="H132" s="6" t="s">
        <v>139</v>
      </c>
    </row>
    <row r="133" customFormat="false" ht="15" hidden="false" customHeight="false" outlineLevel="0" collapsed="false">
      <c r="A133" s="4"/>
      <c r="B133" s="6"/>
      <c r="C133" s="6" t="s">
        <v>109</v>
      </c>
      <c r="D133" s="6" t="s">
        <v>113</v>
      </c>
      <c r="E133" s="4" t="n">
        <v>15</v>
      </c>
      <c r="F133" s="7" t="s">
        <v>140</v>
      </c>
      <c r="G133" s="7" t="s">
        <v>141</v>
      </c>
      <c r="H133" s="6" t="s">
        <v>142</v>
      </c>
    </row>
    <row r="134" customFormat="false" ht="15" hidden="false" customHeight="false" outlineLevel="0" collapsed="false">
      <c r="A134" s="8" t="n">
        <v>18</v>
      </c>
      <c r="B134" s="10" t="s">
        <v>10</v>
      </c>
      <c r="C134" s="10" t="s">
        <v>84</v>
      </c>
      <c r="D134" s="10" t="s">
        <v>85</v>
      </c>
      <c r="E134" s="8" t="n">
        <v>10</v>
      </c>
      <c r="F134" s="11" t="s">
        <v>143</v>
      </c>
      <c r="G134" s="11" t="s">
        <v>144</v>
      </c>
      <c r="H134" s="10" t="s">
        <v>100</v>
      </c>
    </row>
    <row r="135" customFormat="false" ht="15" hidden="false" customHeight="false" outlineLevel="0" collapsed="false">
      <c r="A135" s="8"/>
      <c r="B135" s="10"/>
      <c r="C135" s="10" t="s">
        <v>85</v>
      </c>
      <c r="D135" s="10" t="s">
        <v>145</v>
      </c>
      <c r="E135" s="8" t="n">
        <v>150</v>
      </c>
      <c r="F135" s="11" t="s">
        <v>146</v>
      </c>
      <c r="G135" s="11" t="s">
        <v>147</v>
      </c>
      <c r="H135" s="10" t="s">
        <v>100</v>
      </c>
    </row>
    <row r="136" customFormat="false" ht="15" hidden="false" customHeight="false" outlineLevel="0" collapsed="false">
      <c r="A136" s="8"/>
      <c r="B136" s="10"/>
      <c r="C136" s="10" t="s">
        <v>145</v>
      </c>
      <c r="D136" s="10" t="s">
        <v>113</v>
      </c>
      <c r="E136" s="8" t="n">
        <v>20</v>
      </c>
      <c r="F136" s="11" t="s">
        <v>148</v>
      </c>
      <c r="G136" s="11" t="s">
        <v>149</v>
      </c>
      <c r="H136" s="10" t="s">
        <v>100</v>
      </c>
    </row>
    <row r="137" customFormat="false" ht="15" hidden="false" customHeight="false" outlineLevel="0" collapsed="false">
      <c r="A137" s="4" t="n">
        <v>19</v>
      </c>
      <c r="B137" s="6" t="s">
        <v>63</v>
      </c>
      <c r="C137" s="6" t="s">
        <v>84</v>
      </c>
      <c r="D137" s="6" t="s">
        <v>85</v>
      </c>
      <c r="E137" s="4" t="n">
        <v>10</v>
      </c>
      <c r="F137" s="7" t="s">
        <v>86</v>
      </c>
      <c r="G137" s="7" t="s">
        <v>156</v>
      </c>
      <c r="H137" s="6" t="s">
        <v>157</v>
      </c>
    </row>
    <row r="138" customFormat="false" ht="23.85" hidden="false" customHeight="false" outlineLevel="0" collapsed="false">
      <c r="A138" s="4"/>
      <c r="B138" s="6"/>
      <c r="C138" s="6" t="s">
        <v>85</v>
      </c>
      <c r="D138" s="6" t="s">
        <v>93</v>
      </c>
      <c r="E138" s="4" t="n">
        <v>50</v>
      </c>
      <c r="F138" s="7" t="s">
        <v>158</v>
      </c>
      <c r="G138" s="7" t="s">
        <v>159</v>
      </c>
      <c r="H138" s="6" t="s">
        <v>160</v>
      </c>
    </row>
    <row r="139" customFormat="false" ht="15" hidden="false" customHeight="false" outlineLevel="0" collapsed="false">
      <c r="A139" s="4"/>
      <c r="B139" s="6"/>
      <c r="C139" s="6" t="s">
        <v>93</v>
      </c>
      <c r="D139" s="6" t="s">
        <v>97</v>
      </c>
      <c r="E139" s="4" t="n">
        <v>10</v>
      </c>
      <c r="F139" s="7" t="s">
        <v>98</v>
      </c>
      <c r="G139" s="7" t="s">
        <v>99</v>
      </c>
      <c r="H139" s="6" t="s">
        <v>100</v>
      </c>
    </row>
    <row r="140" customFormat="false" ht="23.85" hidden="false" customHeight="false" outlineLevel="0" collapsed="false">
      <c r="A140" s="4"/>
      <c r="B140" s="6"/>
      <c r="C140" s="6" t="s">
        <v>97</v>
      </c>
      <c r="D140" s="6" t="s">
        <v>161</v>
      </c>
      <c r="E140" s="4" t="n">
        <v>50</v>
      </c>
      <c r="F140" s="7" t="s">
        <v>162</v>
      </c>
      <c r="G140" s="7" t="s">
        <v>163</v>
      </c>
      <c r="H140" s="6" t="s">
        <v>164</v>
      </c>
    </row>
    <row r="141" customFormat="false" ht="15" hidden="false" customHeight="false" outlineLevel="0" collapsed="false">
      <c r="A141" s="4"/>
      <c r="B141" s="6"/>
      <c r="C141" s="6" t="s">
        <v>161</v>
      </c>
      <c r="D141" s="6" t="s">
        <v>165</v>
      </c>
      <c r="E141" s="4" t="n">
        <v>30</v>
      </c>
      <c r="F141" s="7" t="s">
        <v>166</v>
      </c>
      <c r="G141" s="7" t="s">
        <v>167</v>
      </c>
      <c r="H141" s="6" t="s">
        <v>168</v>
      </c>
    </row>
    <row r="142" customFormat="false" ht="15" hidden="false" customHeight="false" outlineLevel="0" collapsed="false">
      <c r="A142" s="4"/>
      <c r="B142" s="6"/>
      <c r="C142" s="6" t="s">
        <v>165</v>
      </c>
      <c r="D142" s="6" t="s">
        <v>169</v>
      </c>
      <c r="E142" s="4" t="n">
        <v>20</v>
      </c>
      <c r="F142" s="7" t="s">
        <v>170</v>
      </c>
      <c r="G142" s="7" t="s">
        <v>171</v>
      </c>
      <c r="H142" s="6" t="s">
        <v>172</v>
      </c>
    </row>
    <row r="143" customFormat="false" ht="15" hidden="false" customHeight="false" outlineLevel="0" collapsed="false">
      <c r="A143" s="4"/>
      <c r="B143" s="6"/>
      <c r="C143" s="6" t="s">
        <v>169</v>
      </c>
      <c r="D143" s="6" t="s">
        <v>113</v>
      </c>
      <c r="E143" s="4" t="n">
        <v>10</v>
      </c>
      <c r="F143" s="7" t="s">
        <v>148</v>
      </c>
      <c r="G143" s="7" t="s">
        <v>173</v>
      </c>
      <c r="H143" s="6" t="s">
        <v>174</v>
      </c>
    </row>
    <row r="144" customFormat="false" ht="15" hidden="false" customHeight="false" outlineLevel="0" collapsed="false">
      <c r="A144" s="8" t="n">
        <v>20</v>
      </c>
      <c r="B144" s="10" t="s">
        <v>10</v>
      </c>
      <c r="C144" s="10" t="s">
        <v>84</v>
      </c>
      <c r="D144" s="10" t="s">
        <v>85</v>
      </c>
      <c r="E144" s="8" t="n">
        <v>10</v>
      </c>
      <c r="F144" s="11" t="s">
        <v>143</v>
      </c>
      <c r="G144" s="11" t="s">
        <v>144</v>
      </c>
      <c r="H144" s="10" t="s">
        <v>100</v>
      </c>
    </row>
    <row r="145" customFormat="false" ht="15" hidden="false" customHeight="false" outlineLevel="0" collapsed="false">
      <c r="A145" s="8"/>
      <c r="B145" s="10"/>
      <c r="C145" s="10" t="s">
        <v>85</v>
      </c>
      <c r="D145" s="10" t="s">
        <v>145</v>
      </c>
      <c r="E145" s="8" t="n">
        <v>150</v>
      </c>
      <c r="F145" s="11" t="s">
        <v>146</v>
      </c>
      <c r="G145" s="11" t="s">
        <v>147</v>
      </c>
      <c r="H145" s="10" t="s">
        <v>100</v>
      </c>
    </row>
    <row r="146" customFormat="false" ht="15" hidden="false" customHeight="false" outlineLevel="0" collapsed="false">
      <c r="A146" s="8"/>
      <c r="B146" s="10"/>
      <c r="C146" s="10" t="s">
        <v>145</v>
      </c>
      <c r="D146" s="10" t="s">
        <v>113</v>
      </c>
      <c r="E146" s="8" t="n">
        <v>20</v>
      </c>
      <c r="F146" s="11" t="s">
        <v>148</v>
      </c>
      <c r="G146" s="11" t="s">
        <v>149</v>
      </c>
      <c r="H146" s="10" t="s">
        <v>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177</v>
      </c>
      <c r="C4" s="3" t="s">
        <v>178</v>
      </c>
      <c r="D4" s="3" t="s">
        <v>4</v>
      </c>
      <c r="E4" s="3" t="s">
        <v>179</v>
      </c>
      <c r="F4" s="3" t="s">
        <v>180</v>
      </c>
      <c r="G4" s="3" t="s">
        <v>181</v>
      </c>
    </row>
    <row r="5" customFormat="false" ht="23.85" hidden="false" customHeight="false" outlineLevel="0" collapsed="false">
      <c r="A5" s="6" t="n">
        <v>1</v>
      </c>
      <c r="B5" s="7" t="s">
        <v>13</v>
      </c>
      <c r="C5" s="4" t="n">
        <v>1</v>
      </c>
      <c r="D5" s="6" t="s">
        <v>86</v>
      </c>
      <c r="E5" s="7" t="s">
        <v>182</v>
      </c>
      <c r="F5" s="7" t="s">
        <v>183</v>
      </c>
      <c r="G5" s="4" t="n">
        <v>0</v>
      </c>
    </row>
    <row r="6" customFormat="false" ht="15" hidden="false" customHeight="false" outlineLevel="0" collapsed="false">
      <c r="A6" s="6"/>
      <c r="B6" s="7"/>
      <c r="C6" s="4" t="n">
        <v>2</v>
      </c>
      <c r="D6" s="6" t="s">
        <v>86</v>
      </c>
      <c r="E6" s="7" t="s">
        <v>184</v>
      </c>
      <c r="F6" s="7" t="s">
        <v>183</v>
      </c>
      <c r="G6" s="4" t="n">
        <v>0</v>
      </c>
    </row>
    <row r="7" customFormat="false" ht="15" hidden="false" customHeight="false" outlineLevel="0" collapsed="false">
      <c r="A7" s="6"/>
      <c r="B7" s="7"/>
      <c r="C7" s="4" t="n">
        <v>3</v>
      </c>
      <c r="D7" s="6" t="s">
        <v>86</v>
      </c>
      <c r="E7" s="7" t="s">
        <v>185</v>
      </c>
      <c r="F7" s="7" t="s">
        <v>183</v>
      </c>
      <c r="G7" s="4" t="n">
        <v>0</v>
      </c>
    </row>
    <row r="8" customFormat="false" ht="15" hidden="false" customHeight="false" outlineLevel="0" collapsed="false">
      <c r="A8" s="6"/>
      <c r="B8" s="7"/>
      <c r="C8" s="4" t="n">
        <v>4</v>
      </c>
      <c r="D8" s="6" t="s">
        <v>186</v>
      </c>
      <c r="E8" s="7" t="s">
        <v>187</v>
      </c>
      <c r="F8" s="7" t="s">
        <v>188</v>
      </c>
      <c r="G8" s="4" t="n">
        <v>10</v>
      </c>
    </row>
    <row r="9" customFormat="false" ht="15" hidden="false" customHeight="false" outlineLevel="0" collapsed="false">
      <c r="A9" s="6"/>
      <c r="B9" s="7"/>
      <c r="C9" s="4" t="n">
        <v>5</v>
      </c>
      <c r="D9" s="6" t="s">
        <v>186</v>
      </c>
      <c r="E9" s="7" t="s">
        <v>189</v>
      </c>
      <c r="F9" s="7" t="s">
        <v>188</v>
      </c>
      <c r="G9" s="4" t="n">
        <v>10</v>
      </c>
    </row>
    <row r="10" customFormat="false" ht="15" hidden="false" customHeight="false" outlineLevel="0" collapsed="false">
      <c r="A10" s="6"/>
      <c r="B10" s="7"/>
      <c r="C10" s="4" t="n">
        <v>6</v>
      </c>
      <c r="D10" s="6" t="s">
        <v>186</v>
      </c>
      <c r="E10" s="7" t="s">
        <v>190</v>
      </c>
      <c r="F10" s="7" t="s">
        <v>188</v>
      </c>
      <c r="G10" s="4" t="n">
        <v>10</v>
      </c>
    </row>
    <row r="11" customFormat="false" ht="23.85" hidden="false" customHeight="false" outlineLevel="0" collapsed="false">
      <c r="A11" s="6"/>
      <c r="B11" s="7"/>
      <c r="C11" s="4" t="n">
        <v>7</v>
      </c>
      <c r="D11" s="6" t="s">
        <v>191</v>
      </c>
      <c r="E11" s="7" t="s">
        <v>192</v>
      </c>
      <c r="F11" s="7" t="s">
        <v>193</v>
      </c>
      <c r="G11" s="4" t="n">
        <v>25</v>
      </c>
    </row>
    <row r="12" customFormat="false" ht="23.85" hidden="false" customHeight="false" outlineLevel="0" collapsed="false">
      <c r="A12" s="6"/>
      <c r="B12" s="7"/>
      <c r="C12" s="4" t="n">
        <v>8</v>
      </c>
      <c r="D12" s="6" t="s">
        <v>191</v>
      </c>
      <c r="E12" s="7" t="s">
        <v>194</v>
      </c>
      <c r="F12" s="7" t="s">
        <v>193</v>
      </c>
      <c r="G12" s="4" t="n">
        <v>25</v>
      </c>
    </row>
    <row r="13" customFormat="false" ht="23.85" hidden="false" customHeight="false" outlineLevel="0" collapsed="false">
      <c r="A13" s="6"/>
      <c r="B13" s="7"/>
      <c r="C13" s="4" t="n">
        <v>9</v>
      </c>
      <c r="D13" s="6" t="s">
        <v>191</v>
      </c>
      <c r="E13" s="7" t="s">
        <v>195</v>
      </c>
      <c r="F13" s="7" t="s">
        <v>193</v>
      </c>
      <c r="G13" s="4" t="n">
        <v>25</v>
      </c>
    </row>
    <row r="14" customFormat="false" ht="23.85" hidden="false" customHeight="false" outlineLevel="0" collapsed="false">
      <c r="A14" s="6"/>
      <c r="B14" s="7"/>
      <c r="C14" s="4" t="n">
        <v>10</v>
      </c>
      <c r="D14" s="6" t="s">
        <v>191</v>
      </c>
      <c r="E14" s="7" t="s">
        <v>196</v>
      </c>
      <c r="F14" s="7" t="s">
        <v>193</v>
      </c>
      <c r="G14" s="4" t="n">
        <v>25</v>
      </c>
    </row>
    <row r="15" customFormat="false" ht="23.85" hidden="false" customHeight="false" outlineLevel="0" collapsed="false">
      <c r="A15" s="6"/>
      <c r="B15" s="7"/>
      <c r="C15" s="4" t="n">
        <v>11</v>
      </c>
      <c r="D15" s="6" t="s">
        <v>191</v>
      </c>
      <c r="E15" s="7" t="s">
        <v>197</v>
      </c>
      <c r="F15" s="7" t="s">
        <v>193</v>
      </c>
      <c r="G15" s="4" t="n">
        <v>25</v>
      </c>
    </row>
    <row r="16" customFormat="false" ht="23.85" hidden="false" customHeight="false" outlineLevel="0" collapsed="false">
      <c r="A16" s="6"/>
      <c r="B16" s="7"/>
      <c r="C16" s="4" t="n">
        <v>12</v>
      </c>
      <c r="D16" s="6" t="s">
        <v>191</v>
      </c>
      <c r="E16" s="7" t="s">
        <v>198</v>
      </c>
      <c r="F16" s="7" t="s">
        <v>193</v>
      </c>
      <c r="G16" s="4" t="n">
        <v>25</v>
      </c>
    </row>
    <row r="17" customFormat="false" ht="23.85" hidden="false" customHeight="false" outlineLevel="0" collapsed="false">
      <c r="A17" s="6"/>
      <c r="B17" s="7"/>
      <c r="C17" s="4" t="n">
        <v>13</v>
      </c>
      <c r="D17" s="6" t="s">
        <v>191</v>
      </c>
      <c r="E17" s="7" t="s">
        <v>199</v>
      </c>
      <c r="F17" s="7" t="s">
        <v>193</v>
      </c>
      <c r="G17" s="4" t="n">
        <v>25</v>
      </c>
    </row>
    <row r="18" customFormat="false" ht="23.85" hidden="false" customHeight="false" outlineLevel="0" collapsed="false">
      <c r="A18" s="6"/>
      <c r="B18" s="7"/>
      <c r="C18" s="4" t="n">
        <v>14</v>
      </c>
      <c r="D18" s="6" t="s">
        <v>191</v>
      </c>
      <c r="E18" s="7" t="s">
        <v>200</v>
      </c>
      <c r="F18" s="7" t="s">
        <v>193</v>
      </c>
      <c r="G18" s="4" t="n">
        <v>25</v>
      </c>
    </row>
    <row r="19" customFormat="false" ht="15" hidden="false" customHeight="false" outlineLevel="0" collapsed="false">
      <c r="A19" s="6"/>
      <c r="B19" s="7"/>
      <c r="C19" s="4" t="n">
        <v>15</v>
      </c>
      <c r="D19" s="6" t="s">
        <v>201</v>
      </c>
      <c r="E19" s="7" t="s">
        <v>202</v>
      </c>
      <c r="F19" s="7" t="s">
        <v>203</v>
      </c>
      <c r="G19" s="4" t="n">
        <v>70</v>
      </c>
    </row>
    <row r="20" customFormat="false" ht="15" hidden="false" customHeight="false" outlineLevel="0" collapsed="false">
      <c r="A20" s="6"/>
      <c r="B20" s="7"/>
      <c r="C20" s="4" t="n">
        <v>16</v>
      </c>
      <c r="D20" s="6" t="s">
        <v>201</v>
      </c>
      <c r="E20" s="7" t="s">
        <v>204</v>
      </c>
      <c r="F20" s="7" t="s">
        <v>203</v>
      </c>
      <c r="G20" s="4" t="n">
        <v>70</v>
      </c>
    </row>
    <row r="21" customFormat="false" ht="15" hidden="false" customHeight="false" outlineLevel="0" collapsed="false">
      <c r="A21" s="6"/>
      <c r="B21" s="7"/>
      <c r="C21" s="4" t="n">
        <v>17</v>
      </c>
      <c r="D21" s="6" t="s">
        <v>201</v>
      </c>
      <c r="E21" s="7" t="s">
        <v>205</v>
      </c>
      <c r="F21" s="7" t="s">
        <v>203</v>
      </c>
      <c r="G21" s="4" t="n">
        <v>70</v>
      </c>
    </row>
    <row r="22" customFormat="false" ht="15" hidden="false" customHeight="false" outlineLevel="0" collapsed="false">
      <c r="A22" s="6"/>
      <c r="B22" s="7"/>
      <c r="C22" s="4" t="n">
        <v>18</v>
      </c>
      <c r="D22" s="6" t="s">
        <v>201</v>
      </c>
      <c r="E22" s="7" t="s">
        <v>206</v>
      </c>
      <c r="F22" s="7" t="s">
        <v>203</v>
      </c>
      <c r="G22" s="4" t="n">
        <v>70</v>
      </c>
    </row>
    <row r="23" customFormat="false" ht="15" hidden="false" customHeight="false" outlineLevel="0" collapsed="false">
      <c r="A23" s="6"/>
      <c r="B23" s="7"/>
      <c r="C23" s="4" t="n">
        <v>19</v>
      </c>
      <c r="D23" s="6" t="s">
        <v>201</v>
      </c>
      <c r="E23" s="7" t="s">
        <v>207</v>
      </c>
      <c r="F23" s="7" t="s">
        <v>203</v>
      </c>
      <c r="G23" s="4" t="n">
        <v>70</v>
      </c>
    </row>
    <row r="24" customFormat="false" ht="15" hidden="false" customHeight="false" outlineLevel="0" collapsed="false">
      <c r="A24" s="6"/>
      <c r="B24" s="7"/>
      <c r="C24" s="4" t="n">
        <v>20</v>
      </c>
      <c r="D24" s="6" t="s">
        <v>201</v>
      </c>
      <c r="E24" s="7" t="s">
        <v>208</v>
      </c>
      <c r="F24" s="7" t="s">
        <v>203</v>
      </c>
      <c r="G24" s="4" t="n">
        <v>70</v>
      </c>
    </row>
    <row r="25" customFormat="false" ht="15" hidden="false" customHeight="false" outlineLevel="0" collapsed="false">
      <c r="A25" s="6"/>
      <c r="B25" s="7"/>
      <c r="C25" s="4" t="n">
        <v>21</v>
      </c>
      <c r="D25" s="6" t="s">
        <v>201</v>
      </c>
      <c r="E25" s="7" t="s">
        <v>209</v>
      </c>
      <c r="F25" s="7" t="s">
        <v>203</v>
      </c>
      <c r="G25" s="4" t="n">
        <v>70</v>
      </c>
    </row>
    <row r="26" customFormat="false" ht="15" hidden="false" customHeight="false" outlineLevel="0" collapsed="false">
      <c r="A26" s="6"/>
      <c r="B26" s="7"/>
      <c r="C26" s="4" t="n">
        <v>22</v>
      </c>
      <c r="D26" s="6" t="s">
        <v>201</v>
      </c>
      <c r="E26" s="7" t="s">
        <v>210</v>
      </c>
      <c r="F26" s="7" t="s">
        <v>203</v>
      </c>
      <c r="G26" s="4" t="n">
        <v>70</v>
      </c>
    </row>
    <row r="27" customFormat="false" ht="15" hidden="false" customHeight="false" outlineLevel="0" collapsed="false">
      <c r="A27" s="6"/>
      <c r="B27" s="7"/>
      <c r="C27" s="4" t="n">
        <v>23</v>
      </c>
      <c r="D27" s="6" t="s">
        <v>211</v>
      </c>
      <c r="E27" s="7" t="s">
        <v>212</v>
      </c>
      <c r="F27" s="7" t="s">
        <v>213</v>
      </c>
      <c r="G27" s="4" t="n">
        <v>100</v>
      </c>
    </row>
    <row r="28" customFormat="false" ht="15" hidden="false" customHeight="false" outlineLevel="0" collapsed="false">
      <c r="A28" s="6"/>
      <c r="B28" s="7"/>
      <c r="C28" s="4" t="n">
        <v>24</v>
      </c>
      <c r="D28" s="6" t="s">
        <v>211</v>
      </c>
      <c r="E28" s="7" t="s">
        <v>214</v>
      </c>
      <c r="F28" s="7" t="s">
        <v>213</v>
      </c>
      <c r="G28" s="4" t="n">
        <v>100</v>
      </c>
    </row>
    <row r="29" customFormat="false" ht="15" hidden="false" customHeight="false" outlineLevel="0" collapsed="false">
      <c r="A29" s="6"/>
      <c r="B29" s="7"/>
      <c r="C29" s="4" t="n">
        <v>25</v>
      </c>
      <c r="D29" s="6" t="s">
        <v>211</v>
      </c>
      <c r="E29" s="7" t="s">
        <v>215</v>
      </c>
      <c r="F29" s="7" t="s">
        <v>213</v>
      </c>
      <c r="G29" s="4" t="n">
        <v>100</v>
      </c>
    </row>
    <row r="30" customFormat="false" ht="15" hidden="false" customHeight="false" outlineLevel="0" collapsed="false">
      <c r="A30" s="6"/>
      <c r="B30" s="7"/>
      <c r="C30" s="4" t="n">
        <v>26</v>
      </c>
      <c r="D30" s="6" t="s">
        <v>211</v>
      </c>
      <c r="E30" s="7" t="s">
        <v>216</v>
      </c>
      <c r="F30" s="7" t="s">
        <v>213</v>
      </c>
      <c r="G30" s="4" t="n">
        <v>100</v>
      </c>
    </row>
    <row r="31" customFormat="false" ht="15" hidden="false" customHeight="false" outlineLevel="0" collapsed="false">
      <c r="A31" s="6"/>
      <c r="B31" s="7"/>
      <c r="C31" s="4" t="n">
        <v>27</v>
      </c>
      <c r="D31" s="6" t="s">
        <v>211</v>
      </c>
      <c r="E31" s="7" t="s">
        <v>217</v>
      </c>
      <c r="F31" s="7" t="s">
        <v>213</v>
      </c>
      <c r="G31" s="4" t="n">
        <v>100</v>
      </c>
    </row>
    <row r="32" customFormat="false" ht="15" hidden="false" customHeight="false" outlineLevel="0" collapsed="false">
      <c r="A32" s="6"/>
      <c r="B32" s="7"/>
      <c r="C32" s="4" t="n">
        <v>28</v>
      </c>
      <c r="D32" s="6" t="s">
        <v>211</v>
      </c>
      <c r="E32" s="7" t="s">
        <v>218</v>
      </c>
      <c r="F32" s="7" t="s">
        <v>213</v>
      </c>
      <c r="G32" s="4" t="n">
        <v>100</v>
      </c>
    </row>
    <row r="33" customFormat="false" ht="15" hidden="false" customHeight="false" outlineLevel="0" collapsed="false">
      <c r="A33" s="6"/>
      <c r="B33" s="7"/>
      <c r="C33" s="4" t="n">
        <v>29</v>
      </c>
      <c r="D33" s="6" t="s">
        <v>211</v>
      </c>
      <c r="E33" s="7" t="s">
        <v>219</v>
      </c>
      <c r="F33" s="7" t="s">
        <v>213</v>
      </c>
      <c r="G33" s="4" t="n">
        <v>100</v>
      </c>
    </row>
    <row r="34" customFormat="false" ht="15" hidden="false" customHeight="false" outlineLevel="0" collapsed="false">
      <c r="A34" s="6"/>
      <c r="B34" s="7"/>
      <c r="C34" s="4" t="n">
        <v>30</v>
      </c>
      <c r="D34" s="6" t="s">
        <v>211</v>
      </c>
      <c r="E34" s="7" t="s">
        <v>220</v>
      </c>
      <c r="F34" s="7" t="s">
        <v>213</v>
      </c>
      <c r="G34" s="4" t="n">
        <v>100</v>
      </c>
    </row>
    <row r="35" customFormat="false" ht="23.85" hidden="false" customHeight="false" outlineLevel="0" collapsed="false">
      <c r="A35" s="6"/>
      <c r="B35" s="7"/>
      <c r="C35" s="4" t="n">
        <v>31</v>
      </c>
      <c r="D35" s="6" t="s">
        <v>221</v>
      </c>
      <c r="E35" s="7" t="s">
        <v>222</v>
      </c>
      <c r="F35" s="7" t="s">
        <v>223</v>
      </c>
      <c r="G35" s="4" t="n">
        <v>125</v>
      </c>
    </row>
    <row r="36" customFormat="false" ht="15" hidden="false" customHeight="false" outlineLevel="0" collapsed="false">
      <c r="A36" s="6"/>
      <c r="B36" s="7"/>
      <c r="C36" s="4" t="n">
        <v>32</v>
      </c>
      <c r="D36" s="6" t="s">
        <v>221</v>
      </c>
      <c r="E36" s="7" t="s">
        <v>224</v>
      </c>
      <c r="F36" s="7" t="s">
        <v>223</v>
      </c>
      <c r="G36" s="4" t="n">
        <v>125</v>
      </c>
    </row>
    <row r="37" customFormat="false" ht="15" hidden="false" customHeight="false" outlineLevel="0" collapsed="false">
      <c r="A37" s="6"/>
      <c r="B37" s="7"/>
      <c r="C37" s="4" t="n">
        <v>33</v>
      </c>
      <c r="D37" s="6" t="s">
        <v>221</v>
      </c>
      <c r="E37" s="7" t="s">
        <v>225</v>
      </c>
      <c r="F37" s="7" t="s">
        <v>223</v>
      </c>
      <c r="G37" s="4" t="n">
        <v>125</v>
      </c>
    </row>
    <row r="38" customFormat="false" ht="15" hidden="false" customHeight="false" outlineLevel="0" collapsed="false">
      <c r="A38" s="6"/>
      <c r="B38" s="7"/>
      <c r="C38" s="4" t="n">
        <v>34</v>
      </c>
      <c r="D38" s="6" t="s">
        <v>221</v>
      </c>
      <c r="E38" s="7" t="s">
        <v>226</v>
      </c>
      <c r="F38" s="7" t="s">
        <v>223</v>
      </c>
      <c r="G38" s="4" t="n">
        <v>125</v>
      </c>
    </row>
    <row r="39" customFormat="false" ht="15" hidden="false" customHeight="false" outlineLevel="0" collapsed="false">
      <c r="A39" s="6"/>
      <c r="B39" s="7"/>
      <c r="C39" s="4" t="n">
        <v>35</v>
      </c>
      <c r="D39" s="6" t="s">
        <v>227</v>
      </c>
      <c r="E39" s="7" t="s">
        <v>228</v>
      </c>
      <c r="F39" s="7" t="s">
        <v>229</v>
      </c>
      <c r="G39" s="4" t="n">
        <v>165</v>
      </c>
    </row>
    <row r="40" customFormat="false" ht="15" hidden="false" customHeight="false" outlineLevel="0" collapsed="false">
      <c r="A40" s="6"/>
      <c r="B40" s="7"/>
      <c r="C40" s="4" t="n">
        <v>36</v>
      </c>
      <c r="D40" s="6" t="s">
        <v>227</v>
      </c>
      <c r="E40" s="7" t="s">
        <v>230</v>
      </c>
      <c r="F40" s="7" t="s">
        <v>229</v>
      </c>
      <c r="G40" s="4" t="n">
        <v>165</v>
      </c>
    </row>
    <row r="41" customFormat="false" ht="15" hidden="false" customHeight="false" outlineLevel="0" collapsed="false">
      <c r="A41" s="6"/>
      <c r="B41" s="7"/>
      <c r="C41" s="4" t="n">
        <v>37</v>
      </c>
      <c r="D41" s="6" t="s">
        <v>227</v>
      </c>
      <c r="E41" s="7" t="s">
        <v>231</v>
      </c>
      <c r="F41" s="7" t="s">
        <v>229</v>
      </c>
      <c r="G41" s="4" t="n">
        <v>165</v>
      </c>
    </row>
    <row r="42" customFormat="false" ht="15" hidden="false" customHeight="false" outlineLevel="0" collapsed="false">
      <c r="A42" s="6"/>
      <c r="B42" s="7"/>
      <c r="C42" s="4" t="n">
        <v>38</v>
      </c>
      <c r="D42" s="6" t="s">
        <v>227</v>
      </c>
      <c r="E42" s="7" t="s">
        <v>232</v>
      </c>
      <c r="F42" s="7" t="s">
        <v>229</v>
      </c>
      <c r="G42" s="4" t="n">
        <v>165</v>
      </c>
    </row>
    <row r="43" customFormat="false" ht="23.85" hidden="false" customHeight="false" outlineLevel="0" collapsed="false">
      <c r="A43" s="6"/>
      <c r="B43" s="7"/>
      <c r="C43" s="4" t="n">
        <v>39</v>
      </c>
      <c r="D43" s="6" t="s">
        <v>233</v>
      </c>
      <c r="E43" s="7" t="s">
        <v>234</v>
      </c>
      <c r="F43" s="7" t="s">
        <v>235</v>
      </c>
      <c r="G43" s="4" t="n">
        <v>175</v>
      </c>
    </row>
    <row r="44" customFormat="false" ht="23.85" hidden="false" customHeight="false" outlineLevel="0" collapsed="false">
      <c r="A44" s="6"/>
      <c r="B44" s="7"/>
      <c r="C44" s="4" t="n">
        <v>40</v>
      </c>
      <c r="D44" s="6" t="s">
        <v>233</v>
      </c>
      <c r="E44" s="7" t="s">
        <v>236</v>
      </c>
      <c r="F44" s="7" t="s">
        <v>235</v>
      </c>
      <c r="G44" s="4" t="n">
        <v>175</v>
      </c>
    </row>
    <row r="45" customFormat="false" ht="23.85" hidden="false" customHeight="false" outlineLevel="0" collapsed="false">
      <c r="A45" s="10" t="n">
        <v>2</v>
      </c>
      <c r="B45" s="11" t="s">
        <v>16</v>
      </c>
      <c r="C45" s="8" t="n">
        <v>1</v>
      </c>
      <c r="D45" s="10" t="s">
        <v>86</v>
      </c>
      <c r="E45" s="11" t="s">
        <v>237</v>
      </c>
      <c r="F45" s="11" t="s">
        <v>183</v>
      </c>
      <c r="G45" s="8" t="n">
        <v>0</v>
      </c>
    </row>
    <row r="46" customFormat="false" ht="15" hidden="false" customHeight="false" outlineLevel="0" collapsed="false">
      <c r="A46" s="10"/>
      <c r="B46" s="11"/>
      <c r="C46" s="8" t="n">
        <v>2</v>
      </c>
      <c r="D46" s="10" t="s">
        <v>86</v>
      </c>
      <c r="E46" s="11" t="s">
        <v>238</v>
      </c>
      <c r="F46" s="11" t="s">
        <v>183</v>
      </c>
      <c r="G46" s="8" t="n">
        <v>0</v>
      </c>
    </row>
    <row r="47" customFormat="false" ht="15" hidden="false" customHeight="false" outlineLevel="0" collapsed="false">
      <c r="A47" s="10"/>
      <c r="B47" s="11"/>
      <c r="C47" s="8" t="n">
        <v>3</v>
      </c>
      <c r="D47" s="10" t="s">
        <v>86</v>
      </c>
      <c r="E47" s="11" t="s">
        <v>239</v>
      </c>
      <c r="F47" s="11" t="s">
        <v>183</v>
      </c>
      <c r="G47" s="8" t="n">
        <v>0</v>
      </c>
    </row>
    <row r="48" customFormat="false" ht="15" hidden="false" customHeight="false" outlineLevel="0" collapsed="false">
      <c r="A48" s="10"/>
      <c r="B48" s="11"/>
      <c r="C48" s="8" t="n">
        <v>4</v>
      </c>
      <c r="D48" s="10" t="s">
        <v>186</v>
      </c>
      <c r="E48" s="11" t="s">
        <v>240</v>
      </c>
      <c r="F48" s="11" t="s">
        <v>188</v>
      </c>
      <c r="G48" s="8" t="n">
        <v>10</v>
      </c>
    </row>
    <row r="49" customFormat="false" ht="15" hidden="false" customHeight="false" outlineLevel="0" collapsed="false">
      <c r="A49" s="10"/>
      <c r="B49" s="11"/>
      <c r="C49" s="8" t="n">
        <v>5</v>
      </c>
      <c r="D49" s="10" t="s">
        <v>186</v>
      </c>
      <c r="E49" s="11" t="s">
        <v>241</v>
      </c>
      <c r="F49" s="11" t="s">
        <v>188</v>
      </c>
      <c r="G49" s="8" t="n">
        <v>10</v>
      </c>
    </row>
    <row r="50" customFormat="false" ht="15" hidden="false" customHeight="false" outlineLevel="0" collapsed="false">
      <c r="A50" s="10"/>
      <c r="B50" s="11"/>
      <c r="C50" s="8" t="n">
        <v>6</v>
      </c>
      <c r="D50" s="10" t="s">
        <v>186</v>
      </c>
      <c r="E50" s="11" t="s">
        <v>242</v>
      </c>
      <c r="F50" s="11" t="s">
        <v>188</v>
      </c>
      <c r="G50" s="8" t="n">
        <v>10</v>
      </c>
    </row>
    <row r="51" customFormat="false" ht="23.85" hidden="false" customHeight="false" outlineLevel="0" collapsed="false">
      <c r="A51" s="10"/>
      <c r="B51" s="11"/>
      <c r="C51" s="8" t="n">
        <v>7</v>
      </c>
      <c r="D51" s="10" t="s">
        <v>191</v>
      </c>
      <c r="E51" s="11" t="s">
        <v>243</v>
      </c>
      <c r="F51" s="11" t="s">
        <v>193</v>
      </c>
      <c r="G51" s="8" t="n">
        <v>25</v>
      </c>
    </row>
    <row r="52" customFormat="false" ht="23.85" hidden="false" customHeight="false" outlineLevel="0" collapsed="false">
      <c r="A52" s="10"/>
      <c r="B52" s="11"/>
      <c r="C52" s="8" t="n">
        <v>8</v>
      </c>
      <c r="D52" s="10" t="s">
        <v>191</v>
      </c>
      <c r="E52" s="11" t="s">
        <v>244</v>
      </c>
      <c r="F52" s="11" t="s">
        <v>193</v>
      </c>
      <c r="G52" s="8" t="n">
        <v>25</v>
      </c>
    </row>
    <row r="53" customFormat="false" ht="23.85" hidden="false" customHeight="false" outlineLevel="0" collapsed="false">
      <c r="A53" s="10"/>
      <c r="B53" s="11"/>
      <c r="C53" s="8" t="n">
        <v>9</v>
      </c>
      <c r="D53" s="10" t="s">
        <v>191</v>
      </c>
      <c r="E53" s="11" t="s">
        <v>245</v>
      </c>
      <c r="F53" s="11" t="s">
        <v>193</v>
      </c>
      <c r="G53" s="8" t="n">
        <v>25</v>
      </c>
    </row>
    <row r="54" customFormat="false" ht="23.85" hidden="false" customHeight="false" outlineLevel="0" collapsed="false">
      <c r="A54" s="10"/>
      <c r="B54" s="11"/>
      <c r="C54" s="8" t="n">
        <v>10</v>
      </c>
      <c r="D54" s="10" t="s">
        <v>191</v>
      </c>
      <c r="E54" s="11" t="s">
        <v>246</v>
      </c>
      <c r="F54" s="11" t="s">
        <v>193</v>
      </c>
      <c r="G54" s="8" t="n">
        <v>25</v>
      </c>
    </row>
    <row r="55" customFormat="false" ht="23.85" hidden="false" customHeight="false" outlineLevel="0" collapsed="false">
      <c r="A55" s="10"/>
      <c r="B55" s="11"/>
      <c r="C55" s="8" t="n">
        <v>11</v>
      </c>
      <c r="D55" s="10" t="s">
        <v>191</v>
      </c>
      <c r="E55" s="11" t="s">
        <v>247</v>
      </c>
      <c r="F55" s="11" t="s">
        <v>193</v>
      </c>
      <c r="G55" s="8" t="n">
        <v>25</v>
      </c>
    </row>
    <row r="56" customFormat="false" ht="23.85" hidden="false" customHeight="false" outlineLevel="0" collapsed="false">
      <c r="A56" s="10"/>
      <c r="B56" s="11"/>
      <c r="C56" s="8" t="n">
        <v>12</v>
      </c>
      <c r="D56" s="10" t="s">
        <v>191</v>
      </c>
      <c r="E56" s="11" t="s">
        <v>248</v>
      </c>
      <c r="F56" s="11" t="s">
        <v>193</v>
      </c>
      <c r="G56" s="8" t="n">
        <v>25</v>
      </c>
    </row>
    <row r="57" customFormat="false" ht="23.85" hidden="false" customHeight="false" outlineLevel="0" collapsed="false">
      <c r="A57" s="10"/>
      <c r="B57" s="11"/>
      <c r="C57" s="8" t="n">
        <v>13</v>
      </c>
      <c r="D57" s="10" t="s">
        <v>191</v>
      </c>
      <c r="E57" s="11" t="s">
        <v>249</v>
      </c>
      <c r="F57" s="11" t="s">
        <v>193</v>
      </c>
      <c r="G57" s="8" t="n">
        <v>25</v>
      </c>
    </row>
    <row r="58" customFormat="false" ht="23.85" hidden="false" customHeight="false" outlineLevel="0" collapsed="false">
      <c r="A58" s="10"/>
      <c r="B58" s="11"/>
      <c r="C58" s="8" t="n">
        <v>14</v>
      </c>
      <c r="D58" s="10" t="s">
        <v>191</v>
      </c>
      <c r="E58" s="11" t="s">
        <v>250</v>
      </c>
      <c r="F58" s="11" t="s">
        <v>193</v>
      </c>
      <c r="G58" s="8" t="n">
        <v>25</v>
      </c>
    </row>
    <row r="59" customFormat="false" ht="15" hidden="false" customHeight="false" outlineLevel="0" collapsed="false">
      <c r="A59" s="10"/>
      <c r="B59" s="11"/>
      <c r="C59" s="8" t="n">
        <v>15</v>
      </c>
      <c r="D59" s="10" t="s">
        <v>201</v>
      </c>
      <c r="E59" s="11" t="s">
        <v>251</v>
      </c>
      <c r="F59" s="11" t="s">
        <v>203</v>
      </c>
      <c r="G59" s="8" t="n">
        <v>70</v>
      </c>
    </row>
    <row r="60" customFormat="false" ht="15" hidden="false" customHeight="false" outlineLevel="0" collapsed="false">
      <c r="A60" s="10"/>
      <c r="B60" s="11"/>
      <c r="C60" s="8" t="n">
        <v>16</v>
      </c>
      <c r="D60" s="10" t="s">
        <v>201</v>
      </c>
      <c r="E60" s="11" t="s">
        <v>252</v>
      </c>
      <c r="F60" s="11" t="s">
        <v>203</v>
      </c>
      <c r="G60" s="8" t="n">
        <v>70</v>
      </c>
    </row>
    <row r="61" customFormat="false" ht="15" hidden="false" customHeight="false" outlineLevel="0" collapsed="false">
      <c r="A61" s="10"/>
      <c r="B61" s="11"/>
      <c r="C61" s="8" t="n">
        <v>17</v>
      </c>
      <c r="D61" s="10" t="s">
        <v>201</v>
      </c>
      <c r="E61" s="11" t="s">
        <v>253</v>
      </c>
      <c r="F61" s="11" t="s">
        <v>203</v>
      </c>
      <c r="G61" s="8" t="n">
        <v>70</v>
      </c>
    </row>
    <row r="62" customFormat="false" ht="15" hidden="false" customHeight="false" outlineLevel="0" collapsed="false">
      <c r="A62" s="10"/>
      <c r="B62" s="11"/>
      <c r="C62" s="8" t="n">
        <v>18</v>
      </c>
      <c r="D62" s="10" t="s">
        <v>201</v>
      </c>
      <c r="E62" s="11" t="s">
        <v>254</v>
      </c>
      <c r="F62" s="11" t="s">
        <v>203</v>
      </c>
      <c r="G62" s="8" t="n">
        <v>70</v>
      </c>
    </row>
    <row r="63" customFormat="false" ht="15" hidden="false" customHeight="false" outlineLevel="0" collapsed="false">
      <c r="A63" s="10"/>
      <c r="B63" s="11"/>
      <c r="C63" s="8" t="n">
        <v>19</v>
      </c>
      <c r="D63" s="10" t="s">
        <v>201</v>
      </c>
      <c r="E63" s="11" t="s">
        <v>255</v>
      </c>
      <c r="F63" s="11" t="s">
        <v>203</v>
      </c>
      <c r="G63" s="8" t="n">
        <v>70</v>
      </c>
    </row>
    <row r="64" customFormat="false" ht="15" hidden="false" customHeight="false" outlineLevel="0" collapsed="false">
      <c r="A64" s="10"/>
      <c r="B64" s="11"/>
      <c r="C64" s="8" t="n">
        <v>20</v>
      </c>
      <c r="D64" s="10" t="s">
        <v>201</v>
      </c>
      <c r="E64" s="11" t="s">
        <v>256</v>
      </c>
      <c r="F64" s="11" t="s">
        <v>203</v>
      </c>
      <c r="G64" s="8" t="n">
        <v>70</v>
      </c>
    </row>
    <row r="65" customFormat="false" ht="15" hidden="false" customHeight="false" outlineLevel="0" collapsed="false">
      <c r="A65" s="10"/>
      <c r="B65" s="11"/>
      <c r="C65" s="8" t="n">
        <v>21</v>
      </c>
      <c r="D65" s="10" t="s">
        <v>201</v>
      </c>
      <c r="E65" s="11" t="s">
        <v>257</v>
      </c>
      <c r="F65" s="11" t="s">
        <v>203</v>
      </c>
      <c r="G65" s="8" t="n">
        <v>70</v>
      </c>
    </row>
    <row r="66" customFormat="false" ht="15" hidden="false" customHeight="false" outlineLevel="0" collapsed="false">
      <c r="A66" s="10"/>
      <c r="B66" s="11"/>
      <c r="C66" s="8" t="n">
        <v>22</v>
      </c>
      <c r="D66" s="10" t="s">
        <v>201</v>
      </c>
      <c r="E66" s="11" t="s">
        <v>258</v>
      </c>
      <c r="F66" s="11" t="s">
        <v>203</v>
      </c>
      <c r="G66" s="8" t="n">
        <v>70</v>
      </c>
    </row>
    <row r="67" customFormat="false" ht="15" hidden="false" customHeight="false" outlineLevel="0" collapsed="false">
      <c r="A67" s="10"/>
      <c r="B67" s="11"/>
      <c r="C67" s="8" t="n">
        <v>23</v>
      </c>
      <c r="D67" s="10" t="s">
        <v>211</v>
      </c>
      <c r="E67" s="11" t="s">
        <v>259</v>
      </c>
      <c r="F67" s="11" t="s">
        <v>213</v>
      </c>
      <c r="G67" s="8" t="n">
        <v>100</v>
      </c>
    </row>
    <row r="68" customFormat="false" ht="15" hidden="false" customHeight="false" outlineLevel="0" collapsed="false">
      <c r="A68" s="10"/>
      <c r="B68" s="11"/>
      <c r="C68" s="8" t="n">
        <v>24</v>
      </c>
      <c r="D68" s="10" t="s">
        <v>211</v>
      </c>
      <c r="E68" s="11" t="s">
        <v>260</v>
      </c>
      <c r="F68" s="11" t="s">
        <v>213</v>
      </c>
      <c r="G68" s="8" t="n">
        <v>100</v>
      </c>
    </row>
    <row r="69" customFormat="false" ht="15" hidden="false" customHeight="false" outlineLevel="0" collapsed="false">
      <c r="A69" s="10"/>
      <c r="B69" s="11"/>
      <c r="C69" s="8" t="n">
        <v>25</v>
      </c>
      <c r="D69" s="10" t="s">
        <v>211</v>
      </c>
      <c r="E69" s="11" t="s">
        <v>261</v>
      </c>
      <c r="F69" s="11" t="s">
        <v>213</v>
      </c>
      <c r="G69" s="8" t="n">
        <v>100</v>
      </c>
    </row>
    <row r="70" customFormat="false" ht="15" hidden="false" customHeight="false" outlineLevel="0" collapsed="false">
      <c r="A70" s="10"/>
      <c r="B70" s="11"/>
      <c r="C70" s="8" t="n">
        <v>26</v>
      </c>
      <c r="D70" s="10" t="s">
        <v>211</v>
      </c>
      <c r="E70" s="11" t="s">
        <v>262</v>
      </c>
      <c r="F70" s="11" t="s">
        <v>213</v>
      </c>
      <c r="G70" s="8" t="n">
        <v>100</v>
      </c>
    </row>
    <row r="71" customFormat="false" ht="15" hidden="false" customHeight="false" outlineLevel="0" collapsed="false">
      <c r="A71" s="10"/>
      <c r="B71" s="11"/>
      <c r="C71" s="8" t="n">
        <v>27</v>
      </c>
      <c r="D71" s="10" t="s">
        <v>211</v>
      </c>
      <c r="E71" s="11" t="s">
        <v>263</v>
      </c>
      <c r="F71" s="11" t="s">
        <v>213</v>
      </c>
      <c r="G71" s="8" t="n">
        <v>100</v>
      </c>
    </row>
    <row r="72" customFormat="false" ht="15" hidden="false" customHeight="false" outlineLevel="0" collapsed="false">
      <c r="A72" s="10"/>
      <c r="B72" s="11"/>
      <c r="C72" s="8" t="n">
        <v>28</v>
      </c>
      <c r="D72" s="10" t="s">
        <v>211</v>
      </c>
      <c r="E72" s="11" t="s">
        <v>264</v>
      </c>
      <c r="F72" s="11" t="s">
        <v>213</v>
      </c>
      <c r="G72" s="8" t="n">
        <v>100</v>
      </c>
    </row>
    <row r="73" customFormat="false" ht="15" hidden="false" customHeight="false" outlineLevel="0" collapsed="false">
      <c r="A73" s="10"/>
      <c r="B73" s="11"/>
      <c r="C73" s="8" t="n">
        <v>29</v>
      </c>
      <c r="D73" s="10" t="s">
        <v>211</v>
      </c>
      <c r="E73" s="11" t="s">
        <v>265</v>
      </c>
      <c r="F73" s="11" t="s">
        <v>213</v>
      </c>
      <c r="G73" s="8" t="n">
        <v>100</v>
      </c>
    </row>
    <row r="74" customFormat="false" ht="15" hidden="false" customHeight="false" outlineLevel="0" collapsed="false">
      <c r="A74" s="10"/>
      <c r="B74" s="11"/>
      <c r="C74" s="8" t="n">
        <v>30</v>
      </c>
      <c r="D74" s="10" t="s">
        <v>211</v>
      </c>
      <c r="E74" s="11" t="s">
        <v>266</v>
      </c>
      <c r="F74" s="11" t="s">
        <v>213</v>
      </c>
      <c r="G74" s="8" t="n">
        <v>100</v>
      </c>
    </row>
    <row r="75" customFormat="false" ht="15" hidden="false" customHeight="false" outlineLevel="0" collapsed="false">
      <c r="A75" s="10"/>
      <c r="B75" s="11"/>
      <c r="C75" s="8" t="n">
        <v>31</v>
      </c>
      <c r="D75" s="10" t="s">
        <v>221</v>
      </c>
      <c r="E75" s="11" t="s">
        <v>267</v>
      </c>
      <c r="F75" s="11" t="s">
        <v>223</v>
      </c>
      <c r="G75" s="8" t="n">
        <v>125</v>
      </c>
    </row>
    <row r="76" customFormat="false" ht="15" hidden="false" customHeight="false" outlineLevel="0" collapsed="false">
      <c r="A76" s="10"/>
      <c r="B76" s="11"/>
      <c r="C76" s="8" t="n">
        <v>32</v>
      </c>
      <c r="D76" s="10" t="s">
        <v>221</v>
      </c>
      <c r="E76" s="11" t="s">
        <v>268</v>
      </c>
      <c r="F76" s="11" t="s">
        <v>223</v>
      </c>
      <c r="G76" s="8" t="n">
        <v>125</v>
      </c>
    </row>
    <row r="77" customFormat="false" ht="15" hidden="false" customHeight="false" outlineLevel="0" collapsed="false">
      <c r="A77" s="10"/>
      <c r="B77" s="11"/>
      <c r="C77" s="8" t="n">
        <v>33</v>
      </c>
      <c r="D77" s="10" t="s">
        <v>221</v>
      </c>
      <c r="E77" s="11" t="s">
        <v>269</v>
      </c>
      <c r="F77" s="11" t="s">
        <v>223</v>
      </c>
      <c r="G77" s="8" t="n">
        <v>125</v>
      </c>
    </row>
    <row r="78" customFormat="false" ht="15" hidden="false" customHeight="false" outlineLevel="0" collapsed="false">
      <c r="A78" s="10"/>
      <c r="B78" s="11"/>
      <c r="C78" s="8" t="n">
        <v>34</v>
      </c>
      <c r="D78" s="10" t="s">
        <v>221</v>
      </c>
      <c r="E78" s="11" t="s">
        <v>270</v>
      </c>
      <c r="F78" s="11" t="s">
        <v>223</v>
      </c>
      <c r="G78" s="8" t="n">
        <v>125</v>
      </c>
    </row>
    <row r="79" customFormat="false" ht="15" hidden="false" customHeight="false" outlineLevel="0" collapsed="false">
      <c r="A79" s="10"/>
      <c r="B79" s="11"/>
      <c r="C79" s="8" t="n">
        <v>35</v>
      </c>
      <c r="D79" s="10" t="s">
        <v>227</v>
      </c>
      <c r="E79" s="11" t="s">
        <v>271</v>
      </c>
      <c r="F79" s="11" t="s">
        <v>229</v>
      </c>
      <c r="G79" s="8" t="n">
        <v>165</v>
      </c>
    </row>
    <row r="80" customFormat="false" ht="15" hidden="false" customHeight="false" outlineLevel="0" collapsed="false">
      <c r="A80" s="10"/>
      <c r="B80" s="11"/>
      <c r="C80" s="8" t="n">
        <v>36</v>
      </c>
      <c r="D80" s="10" t="s">
        <v>227</v>
      </c>
      <c r="E80" s="11" t="s">
        <v>272</v>
      </c>
      <c r="F80" s="11" t="s">
        <v>229</v>
      </c>
      <c r="G80" s="8" t="n">
        <v>165</v>
      </c>
    </row>
    <row r="81" customFormat="false" ht="15" hidden="false" customHeight="false" outlineLevel="0" collapsed="false">
      <c r="A81" s="10"/>
      <c r="B81" s="11"/>
      <c r="C81" s="8" t="n">
        <v>37</v>
      </c>
      <c r="D81" s="10" t="s">
        <v>227</v>
      </c>
      <c r="E81" s="11" t="s">
        <v>273</v>
      </c>
      <c r="F81" s="11" t="s">
        <v>229</v>
      </c>
      <c r="G81" s="8" t="n">
        <v>165</v>
      </c>
    </row>
    <row r="82" customFormat="false" ht="15" hidden="false" customHeight="false" outlineLevel="0" collapsed="false">
      <c r="A82" s="10"/>
      <c r="B82" s="11"/>
      <c r="C82" s="8" t="n">
        <v>38</v>
      </c>
      <c r="D82" s="10" t="s">
        <v>227</v>
      </c>
      <c r="E82" s="11" t="s">
        <v>274</v>
      </c>
      <c r="F82" s="11" t="s">
        <v>229</v>
      </c>
      <c r="G82" s="8" t="n">
        <v>165</v>
      </c>
    </row>
    <row r="83" customFormat="false" ht="23.85" hidden="false" customHeight="false" outlineLevel="0" collapsed="false">
      <c r="A83" s="10"/>
      <c r="B83" s="11"/>
      <c r="C83" s="8" t="n">
        <v>39</v>
      </c>
      <c r="D83" s="10" t="s">
        <v>233</v>
      </c>
      <c r="E83" s="11" t="s">
        <v>275</v>
      </c>
      <c r="F83" s="11" t="s">
        <v>235</v>
      </c>
      <c r="G83" s="8" t="n">
        <v>175</v>
      </c>
    </row>
    <row r="84" customFormat="false" ht="23.85" hidden="false" customHeight="false" outlineLevel="0" collapsed="false">
      <c r="A84" s="10"/>
      <c r="B84" s="11"/>
      <c r="C84" s="8" t="n">
        <v>40</v>
      </c>
      <c r="D84" s="10" t="s">
        <v>233</v>
      </c>
      <c r="E84" s="11" t="s">
        <v>276</v>
      </c>
      <c r="F84" s="11" t="s">
        <v>235</v>
      </c>
      <c r="G84" s="8" t="n">
        <v>175</v>
      </c>
    </row>
    <row r="85" customFormat="false" ht="23.85" hidden="false" customHeight="false" outlineLevel="0" collapsed="false">
      <c r="A85" s="6" t="n">
        <v>3</v>
      </c>
      <c r="B85" s="7" t="s">
        <v>18</v>
      </c>
      <c r="C85" s="4" t="n">
        <v>1</v>
      </c>
      <c r="D85" s="6" t="s">
        <v>86</v>
      </c>
      <c r="E85" s="7" t="s">
        <v>277</v>
      </c>
      <c r="F85" s="7" t="s">
        <v>183</v>
      </c>
      <c r="G85" s="4" t="n">
        <v>0</v>
      </c>
    </row>
    <row r="86" customFormat="false" ht="15" hidden="false" customHeight="false" outlineLevel="0" collapsed="false">
      <c r="A86" s="6"/>
      <c r="B86" s="7"/>
      <c r="C86" s="4" t="n">
        <v>2</v>
      </c>
      <c r="D86" s="6" t="s">
        <v>86</v>
      </c>
      <c r="E86" s="7" t="s">
        <v>238</v>
      </c>
      <c r="F86" s="7" t="s">
        <v>183</v>
      </c>
      <c r="G86" s="4" t="n">
        <v>0</v>
      </c>
    </row>
    <row r="87" customFormat="false" ht="15" hidden="false" customHeight="false" outlineLevel="0" collapsed="false">
      <c r="A87" s="6"/>
      <c r="B87" s="7"/>
      <c r="C87" s="4" t="n">
        <v>3</v>
      </c>
      <c r="D87" s="6" t="s">
        <v>86</v>
      </c>
      <c r="E87" s="7" t="s">
        <v>278</v>
      </c>
      <c r="F87" s="7" t="s">
        <v>183</v>
      </c>
      <c r="G87" s="4" t="n">
        <v>0</v>
      </c>
    </row>
    <row r="88" customFormat="false" ht="15" hidden="false" customHeight="false" outlineLevel="0" collapsed="false">
      <c r="A88" s="6"/>
      <c r="B88" s="7"/>
      <c r="C88" s="4" t="n">
        <v>4</v>
      </c>
      <c r="D88" s="6" t="s">
        <v>186</v>
      </c>
      <c r="E88" s="7" t="s">
        <v>279</v>
      </c>
      <c r="F88" s="7" t="s">
        <v>188</v>
      </c>
      <c r="G88" s="4" t="n">
        <v>10</v>
      </c>
    </row>
    <row r="89" customFormat="false" ht="15" hidden="false" customHeight="false" outlineLevel="0" collapsed="false">
      <c r="A89" s="6"/>
      <c r="B89" s="7"/>
      <c r="C89" s="4" t="n">
        <v>5</v>
      </c>
      <c r="D89" s="6" t="s">
        <v>186</v>
      </c>
      <c r="E89" s="7" t="s">
        <v>280</v>
      </c>
      <c r="F89" s="7" t="s">
        <v>188</v>
      </c>
      <c r="G89" s="4" t="n">
        <v>10</v>
      </c>
    </row>
    <row r="90" customFormat="false" ht="15" hidden="false" customHeight="false" outlineLevel="0" collapsed="false">
      <c r="A90" s="6"/>
      <c r="B90" s="7"/>
      <c r="C90" s="4" t="n">
        <v>6</v>
      </c>
      <c r="D90" s="6" t="s">
        <v>186</v>
      </c>
      <c r="E90" s="7" t="s">
        <v>281</v>
      </c>
      <c r="F90" s="7" t="s">
        <v>188</v>
      </c>
      <c r="G90" s="4" t="n">
        <v>10</v>
      </c>
    </row>
    <row r="91" customFormat="false" ht="23.85" hidden="false" customHeight="false" outlineLevel="0" collapsed="false">
      <c r="A91" s="6"/>
      <c r="B91" s="7"/>
      <c r="C91" s="4" t="n">
        <v>7</v>
      </c>
      <c r="D91" s="6" t="s">
        <v>191</v>
      </c>
      <c r="E91" s="7" t="s">
        <v>282</v>
      </c>
      <c r="F91" s="7" t="s">
        <v>193</v>
      </c>
      <c r="G91" s="4" t="n">
        <v>25</v>
      </c>
    </row>
    <row r="92" customFormat="false" ht="23.85" hidden="false" customHeight="false" outlineLevel="0" collapsed="false">
      <c r="A92" s="6"/>
      <c r="B92" s="7"/>
      <c r="C92" s="4" t="n">
        <v>8</v>
      </c>
      <c r="D92" s="6" t="s">
        <v>191</v>
      </c>
      <c r="E92" s="7" t="s">
        <v>283</v>
      </c>
      <c r="F92" s="7" t="s">
        <v>193</v>
      </c>
      <c r="G92" s="4" t="n">
        <v>25</v>
      </c>
    </row>
    <row r="93" customFormat="false" ht="23.85" hidden="false" customHeight="false" outlineLevel="0" collapsed="false">
      <c r="A93" s="6"/>
      <c r="B93" s="7"/>
      <c r="C93" s="4" t="n">
        <v>9</v>
      </c>
      <c r="D93" s="6" t="s">
        <v>191</v>
      </c>
      <c r="E93" s="7" t="s">
        <v>284</v>
      </c>
      <c r="F93" s="7" t="s">
        <v>193</v>
      </c>
      <c r="G93" s="4" t="n">
        <v>25</v>
      </c>
    </row>
    <row r="94" customFormat="false" ht="23.85" hidden="false" customHeight="false" outlineLevel="0" collapsed="false">
      <c r="A94" s="6"/>
      <c r="B94" s="7"/>
      <c r="C94" s="4" t="n">
        <v>10</v>
      </c>
      <c r="D94" s="6" t="s">
        <v>191</v>
      </c>
      <c r="E94" s="7" t="s">
        <v>285</v>
      </c>
      <c r="F94" s="7" t="s">
        <v>193</v>
      </c>
      <c r="G94" s="4" t="n">
        <v>25</v>
      </c>
    </row>
    <row r="95" customFormat="false" ht="23.85" hidden="false" customHeight="false" outlineLevel="0" collapsed="false">
      <c r="A95" s="6"/>
      <c r="B95" s="7"/>
      <c r="C95" s="4" t="n">
        <v>11</v>
      </c>
      <c r="D95" s="6" t="s">
        <v>191</v>
      </c>
      <c r="E95" s="7" t="s">
        <v>286</v>
      </c>
      <c r="F95" s="7" t="s">
        <v>193</v>
      </c>
      <c r="G95" s="4" t="n">
        <v>25</v>
      </c>
    </row>
    <row r="96" customFormat="false" ht="23.85" hidden="false" customHeight="false" outlineLevel="0" collapsed="false">
      <c r="A96" s="6"/>
      <c r="B96" s="7"/>
      <c r="C96" s="4" t="n">
        <v>12</v>
      </c>
      <c r="D96" s="6" t="s">
        <v>191</v>
      </c>
      <c r="E96" s="7" t="s">
        <v>287</v>
      </c>
      <c r="F96" s="7" t="s">
        <v>193</v>
      </c>
      <c r="G96" s="4" t="n">
        <v>25</v>
      </c>
    </row>
    <row r="97" customFormat="false" ht="23.85" hidden="false" customHeight="false" outlineLevel="0" collapsed="false">
      <c r="A97" s="6"/>
      <c r="B97" s="7"/>
      <c r="C97" s="4" t="n">
        <v>13</v>
      </c>
      <c r="D97" s="6" t="s">
        <v>191</v>
      </c>
      <c r="E97" s="7" t="s">
        <v>288</v>
      </c>
      <c r="F97" s="7" t="s">
        <v>193</v>
      </c>
      <c r="G97" s="4" t="n">
        <v>25</v>
      </c>
    </row>
    <row r="98" customFormat="false" ht="23.85" hidden="false" customHeight="false" outlineLevel="0" collapsed="false">
      <c r="A98" s="6"/>
      <c r="B98" s="7"/>
      <c r="C98" s="4" t="n">
        <v>14</v>
      </c>
      <c r="D98" s="6" t="s">
        <v>191</v>
      </c>
      <c r="E98" s="7" t="s">
        <v>289</v>
      </c>
      <c r="F98" s="7" t="s">
        <v>193</v>
      </c>
      <c r="G98" s="4" t="n">
        <v>25</v>
      </c>
    </row>
    <row r="99" customFormat="false" ht="15" hidden="false" customHeight="false" outlineLevel="0" collapsed="false">
      <c r="A99" s="6"/>
      <c r="B99" s="7"/>
      <c r="C99" s="4" t="n">
        <v>15</v>
      </c>
      <c r="D99" s="6" t="s">
        <v>201</v>
      </c>
      <c r="E99" s="7" t="s">
        <v>290</v>
      </c>
      <c r="F99" s="7" t="s">
        <v>203</v>
      </c>
      <c r="G99" s="4" t="n">
        <v>70</v>
      </c>
    </row>
    <row r="100" customFormat="false" ht="15" hidden="false" customHeight="false" outlineLevel="0" collapsed="false">
      <c r="A100" s="6"/>
      <c r="B100" s="7"/>
      <c r="C100" s="4" t="n">
        <v>16</v>
      </c>
      <c r="D100" s="6" t="s">
        <v>201</v>
      </c>
      <c r="E100" s="7" t="s">
        <v>291</v>
      </c>
      <c r="F100" s="7" t="s">
        <v>203</v>
      </c>
      <c r="G100" s="4" t="n">
        <v>70</v>
      </c>
    </row>
    <row r="101" customFormat="false" ht="15" hidden="false" customHeight="false" outlineLevel="0" collapsed="false">
      <c r="A101" s="6"/>
      <c r="B101" s="7"/>
      <c r="C101" s="4" t="n">
        <v>17</v>
      </c>
      <c r="D101" s="6" t="s">
        <v>201</v>
      </c>
      <c r="E101" s="7" t="s">
        <v>292</v>
      </c>
      <c r="F101" s="7" t="s">
        <v>203</v>
      </c>
      <c r="G101" s="4" t="n">
        <v>70</v>
      </c>
    </row>
    <row r="102" customFormat="false" ht="15" hidden="false" customHeight="false" outlineLevel="0" collapsed="false">
      <c r="A102" s="6"/>
      <c r="B102" s="7"/>
      <c r="C102" s="4" t="n">
        <v>18</v>
      </c>
      <c r="D102" s="6" t="s">
        <v>201</v>
      </c>
      <c r="E102" s="7" t="s">
        <v>293</v>
      </c>
      <c r="F102" s="7" t="s">
        <v>203</v>
      </c>
      <c r="G102" s="4" t="n">
        <v>70</v>
      </c>
    </row>
    <row r="103" customFormat="false" ht="15" hidden="false" customHeight="false" outlineLevel="0" collapsed="false">
      <c r="A103" s="6"/>
      <c r="B103" s="7"/>
      <c r="C103" s="4" t="n">
        <v>19</v>
      </c>
      <c r="D103" s="6" t="s">
        <v>201</v>
      </c>
      <c r="E103" s="7" t="s">
        <v>294</v>
      </c>
      <c r="F103" s="7" t="s">
        <v>203</v>
      </c>
      <c r="G103" s="4" t="n">
        <v>70</v>
      </c>
    </row>
    <row r="104" customFormat="false" ht="15" hidden="false" customHeight="false" outlineLevel="0" collapsed="false">
      <c r="A104" s="6"/>
      <c r="B104" s="7"/>
      <c r="C104" s="4" t="n">
        <v>20</v>
      </c>
      <c r="D104" s="6" t="s">
        <v>201</v>
      </c>
      <c r="E104" s="7" t="s">
        <v>295</v>
      </c>
      <c r="F104" s="7" t="s">
        <v>203</v>
      </c>
      <c r="G104" s="4" t="n">
        <v>70</v>
      </c>
    </row>
    <row r="105" customFormat="false" ht="15" hidden="false" customHeight="false" outlineLevel="0" collapsed="false">
      <c r="A105" s="6"/>
      <c r="B105" s="7"/>
      <c r="C105" s="4" t="n">
        <v>21</v>
      </c>
      <c r="D105" s="6" t="s">
        <v>201</v>
      </c>
      <c r="E105" s="7" t="s">
        <v>296</v>
      </c>
      <c r="F105" s="7" t="s">
        <v>203</v>
      </c>
      <c r="G105" s="4" t="n">
        <v>70</v>
      </c>
    </row>
    <row r="106" customFormat="false" ht="15" hidden="false" customHeight="false" outlineLevel="0" collapsed="false">
      <c r="A106" s="6"/>
      <c r="B106" s="7"/>
      <c r="C106" s="4" t="n">
        <v>22</v>
      </c>
      <c r="D106" s="6" t="s">
        <v>201</v>
      </c>
      <c r="E106" s="7" t="s">
        <v>297</v>
      </c>
      <c r="F106" s="7" t="s">
        <v>203</v>
      </c>
      <c r="G106" s="4" t="n">
        <v>70</v>
      </c>
    </row>
    <row r="107" customFormat="false" ht="15" hidden="false" customHeight="false" outlineLevel="0" collapsed="false">
      <c r="A107" s="6"/>
      <c r="B107" s="7"/>
      <c r="C107" s="4" t="n">
        <v>23</v>
      </c>
      <c r="D107" s="6" t="s">
        <v>211</v>
      </c>
      <c r="E107" s="7" t="s">
        <v>298</v>
      </c>
      <c r="F107" s="7" t="s">
        <v>213</v>
      </c>
      <c r="G107" s="4" t="n">
        <v>100</v>
      </c>
    </row>
    <row r="108" customFormat="false" ht="15" hidden="false" customHeight="false" outlineLevel="0" collapsed="false">
      <c r="A108" s="6"/>
      <c r="B108" s="7"/>
      <c r="C108" s="4" t="n">
        <v>24</v>
      </c>
      <c r="D108" s="6" t="s">
        <v>211</v>
      </c>
      <c r="E108" s="7" t="s">
        <v>299</v>
      </c>
      <c r="F108" s="7" t="s">
        <v>213</v>
      </c>
      <c r="G108" s="4" t="n">
        <v>100</v>
      </c>
    </row>
    <row r="109" customFormat="false" ht="15" hidden="false" customHeight="false" outlineLevel="0" collapsed="false">
      <c r="A109" s="6"/>
      <c r="B109" s="7"/>
      <c r="C109" s="4" t="n">
        <v>25</v>
      </c>
      <c r="D109" s="6" t="s">
        <v>211</v>
      </c>
      <c r="E109" s="7" t="s">
        <v>300</v>
      </c>
      <c r="F109" s="7" t="s">
        <v>213</v>
      </c>
      <c r="G109" s="4" t="n">
        <v>100</v>
      </c>
    </row>
    <row r="110" customFormat="false" ht="15" hidden="false" customHeight="false" outlineLevel="0" collapsed="false">
      <c r="A110" s="6"/>
      <c r="B110" s="7"/>
      <c r="C110" s="4" t="n">
        <v>26</v>
      </c>
      <c r="D110" s="6" t="s">
        <v>211</v>
      </c>
      <c r="E110" s="7" t="s">
        <v>301</v>
      </c>
      <c r="F110" s="7" t="s">
        <v>213</v>
      </c>
      <c r="G110" s="4" t="n">
        <v>100</v>
      </c>
    </row>
    <row r="111" customFormat="false" ht="23.85" hidden="false" customHeight="false" outlineLevel="0" collapsed="false">
      <c r="A111" s="6"/>
      <c r="B111" s="7"/>
      <c r="C111" s="4" t="n">
        <v>27</v>
      </c>
      <c r="D111" s="6" t="s">
        <v>211</v>
      </c>
      <c r="E111" s="7" t="s">
        <v>302</v>
      </c>
      <c r="F111" s="7" t="s">
        <v>213</v>
      </c>
      <c r="G111" s="4" t="n">
        <v>100</v>
      </c>
    </row>
    <row r="112" customFormat="false" ht="15" hidden="false" customHeight="false" outlineLevel="0" collapsed="false">
      <c r="A112" s="6"/>
      <c r="B112" s="7"/>
      <c r="C112" s="4" t="n">
        <v>28</v>
      </c>
      <c r="D112" s="6" t="s">
        <v>211</v>
      </c>
      <c r="E112" s="7" t="s">
        <v>303</v>
      </c>
      <c r="F112" s="7" t="s">
        <v>213</v>
      </c>
      <c r="G112" s="4" t="n">
        <v>100</v>
      </c>
    </row>
    <row r="113" customFormat="false" ht="23.85" hidden="false" customHeight="false" outlineLevel="0" collapsed="false">
      <c r="A113" s="6"/>
      <c r="B113" s="7"/>
      <c r="C113" s="4" t="n">
        <v>29</v>
      </c>
      <c r="D113" s="6" t="s">
        <v>211</v>
      </c>
      <c r="E113" s="7" t="s">
        <v>304</v>
      </c>
      <c r="F113" s="7" t="s">
        <v>213</v>
      </c>
      <c r="G113" s="4" t="n">
        <v>100</v>
      </c>
    </row>
    <row r="114" customFormat="false" ht="23.85" hidden="false" customHeight="false" outlineLevel="0" collapsed="false">
      <c r="A114" s="6"/>
      <c r="B114" s="7"/>
      <c r="C114" s="4" t="n">
        <v>30</v>
      </c>
      <c r="D114" s="6" t="s">
        <v>211</v>
      </c>
      <c r="E114" s="7" t="s">
        <v>305</v>
      </c>
      <c r="F114" s="7" t="s">
        <v>213</v>
      </c>
      <c r="G114" s="4" t="n">
        <v>100</v>
      </c>
    </row>
    <row r="115" customFormat="false" ht="15" hidden="false" customHeight="false" outlineLevel="0" collapsed="false">
      <c r="A115" s="6"/>
      <c r="B115" s="7"/>
      <c r="C115" s="4" t="n">
        <v>31</v>
      </c>
      <c r="D115" s="6" t="s">
        <v>221</v>
      </c>
      <c r="E115" s="7" t="s">
        <v>306</v>
      </c>
      <c r="F115" s="7" t="s">
        <v>223</v>
      </c>
      <c r="G115" s="4" t="n">
        <v>125</v>
      </c>
    </row>
    <row r="116" customFormat="false" ht="15" hidden="false" customHeight="false" outlineLevel="0" collapsed="false">
      <c r="A116" s="6"/>
      <c r="B116" s="7"/>
      <c r="C116" s="4" t="n">
        <v>32</v>
      </c>
      <c r="D116" s="6" t="s">
        <v>221</v>
      </c>
      <c r="E116" s="7" t="s">
        <v>307</v>
      </c>
      <c r="F116" s="7" t="s">
        <v>223</v>
      </c>
      <c r="G116" s="4" t="n">
        <v>125</v>
      </c>
    </row>
    <row r="117" customFormat="false" ht="15" hidden="false" customHeight="false" outlineLevel="0" collapsed="false">
      <c r="A117" s="6"/>
      <c r="B117" s="7"/>
      <c r="C117" s="4" t="n">
        <v>33</v>
      </c>
      <c r="D117" s="6" t="s">
        <v>221</v>
      </c>
      <c r="E117" s="7" t="s">
        <v>308</v>
      </c>
      <c r="F117" s="7" t="s">
        <v>223</v>
      </c>
      <c r="G117" s="4" t="n">
        <v>125</v>
      </c>
    </row>
    <row r="118" customFormat="false" ht="15" hidden="false" customHeight="false" outlineLevel="0" collapsed="false">
      <c r="A118" s="6"/>
      <c r="B118" s="7"/>
      <c r="C118" s="4" t="n">
        <v>34</v>
      </c>
      <c r="D118" s="6" t="s">
        <v>221</v>
      </c>
      <c r="E118" s="7" t="s">
        <v>309</v>
      </c>
      <c r="F118" s="7" t="s">
        <v>223</v>
      </c>
      <c r="G118" s="4" t="n">
        <v>125</v>
      </c>
    </row>
    <row r="119" customFormat="false" ht="15" hidden="false" customHeight="false" outlineLevel="0" collapsed="false">
      <c r="A119" s="6"/>
      <c r="B119" s="7"/>
      <c r="C119" s="4" t="n">
        <v>35</v>
      </c>
      <c r="D119" s="6" t="s">
        <v>227</v>
      </c>
      <c r="E119" s="7" t="s">
        <v>310</v>
      </c>
      <c r="F119" s="7" t="s">
        <v>229</v>
      </c>
      <c r="G119" s="4" t="n">
        <v>165</v>
      </c>
    </row>
    <row r="120" customFormat="false" ht="15" hidden="false" customHeight="false" outlineLevel="0" collapsed="false">
      <c r="A120" s="6"/>
      <c r="B120" s="7"/>
      <c r="C120" s="4" t="n">
        <v>36</v>
      </c>
      <c r="D120" s="6" t="s">
        <v>227</v>
      </c>
      <c r="E120" s="7" t="s">
        <v>311</v>
      </c>
      <c r="F120" s="7" t="s">
        <v>229</v>
      </c>
      <c r="G120" s="4" t="n">
        <v>165</v>
      </c>
    </row>
    <row r="121" customFormat="false" ht="15" hidden="false" customHeight="false" outlineLevel="0" collapsed="false">
      <c r="A121" s="6"/>
      <c r="B121" s="7"/>
      <c r="C121" s="4" t="n">
        <v>37</v>
      </c>
      <c r="D121" s="6" t="s">
        <v>227</v>
      </c>
      <c r="E121" s="7" t="s">
        <v>312</v>
      </c>
      <c r="F121" s="7" t="s">
        <v>229</v>
      </c>
      <c r="G121" s="4" t="n">
        <v>165</v>
      </c>
    </row>
    <row r="122" customFormat="false" ht="15" hidden="false" customHeight="false" outlineLevel="0" collapsed="false">
      <c r="A122" s="6"/>
      <c r="B122" s="7"/>
      <c r="C122" s="4" t="n">
        <v>38</v>
      </c>
      <c r="D122" s="6" t="s">
        <v>227</v>
      </c>
      <c r="E122" s="7" t="s">
        <v>313</v>
      </c>
      <c r="F122" s="7" t="s">
        <v>229</v>
      </c>
      <c r="G122" s="4" t="n">
        <v>165</v>
      </c>
    </row>
    <row r="123" customFormat="false" ht="23.85" hidden="false" customHeight="false" outlineLevel="0" collapsed="false">
      <c r="A123" s="6"/>
      <c r="B123" s="7"/>
      <c r="C123" s="4" t="n">
        <v>39</v>
      </c>
      <c r="D123" s="6" t="s">
        <v>233</v>
      </c>
      <c r="E123" s="7" t="s">
        <v>314</v>
      </c>
      <c r="F123" s="7" t="s">
        <v>235</v>
      </c>
      <c r="G123" s="4" t="n">
        <v>175</v>
      </c>
    </row>
    <row r="124" customFormat="false" ht="23.85" hidden="false" customHeight="false" outlineLevel="0" collapsed="false">
      <c r="A124" s="6"/>
      <c r="B124" s="7"/>
      <c r="C124" s="4" t="n">
        <v>40</v>
      </c>
      <c r="D124" s="6" t="s">
        <v>233</v>
      </c>
      <c r="E124" s="7" t="s">
        <v>276</v>
      </c>
      <c r="F124" s="7" t="s">
        <v>235</v>
      </c>
      <c r="G124" s="4" t="n">
        <v>175</v>
      </c>
    </row>
    <row r="125" customFormat="false" ht="35.05" hidden="false" customHeight="false" outlineLevel="0" collapsed="false">
      <c r="A125" s="10" t="n">
        <v>4</v>
      </c>
      <c r="B125" s="11" t="s">
        <v>21</v>
      </c>
      <c r="C125" s="8" t="n">
        <v>1</v>
      </c>
      <c r="D125" s="10" t="s">
        <v>86</v>
      </c>
      <c r="E125" s="11" t="s">
        <v>315</v>
      </c>
      <c r="F125" s="11" t="s">
        <v>183</v>
      </c>
      <c r="G125" s="8" t="n">
        <v>0</v>
      </c>
    </row>
    <row r="126" customFormat="false" ht="15" hidden="false" customHeight="false" outlineLevel="0" collapsed="false">
      <c r="A126" s="10"/>
      <c r="B126" s="11"/>
      <c r="C126" s="8" t="n">
        <v>2</v>
      </c>
      <c r="D126" s="10" t="s">
        <v>86</v>
      </c>
      <c r="E126" s="11" t="s">
        <v>238</v>
      </c>
      <c r="F126" s="11" t="s">
        <v>183</v>
      </c>
      <c r="G126" s="8" t="n">
        <v>0</v>
      </c>
    </row>
    <row r="127" customFormat="false" ht="15" hidden="false" customHeight="false" outlineLevel="0" collapsed="false">
      <c r="A127" s="10"/>
      <c r="B127" s="11"/>
      <c r="C127" s="8" t="n">
        <v>3</v>
      </c>
      <c r="D127" s="10" t="s">
        <v>86</v>
      </c>
      <c r="E127" s="11" t="s">
        <v>316</v>
      </c>
      <c r="F127" s="11" t="s">
        <v>183</v>
      </c>
      <c r="G127" s="8" t="n">
        <v>0</v>
      </c>
    </row>
    <row r="128" customFormat="false" ht="15" hidden="false" customHeight="false" outlineLevel="0" collapsed="false">
      <c r="A128" s="10"/>
      <c r="B128" s="11"/>
      <c r="C128" s="8" t="n">
        <v>4</v>
      </c>
      <c r="D128" s="10" t="s">
        <v>186</v>
      </c>
      <c r="E128" s="11" t="s">
        <v>317</v>
      </c>
      <c r="F128" s="11" t="s">
        <v>188</v>
      </c>
      <c r="G128" s="8" t="n">
        <v>10</v>
      </c>
    </row>
    <row r="129" customFormat="false" ht="15" hidden="false" customHeight="false" outlineLevel="0" collapsed="false">
      <c r="A129" s="10"/>
      <c r="B129" s="11"/>
      <c r="C129" s="8" t="n">
        <v>5</v>
      </c>
      <c r="D129" s="10" t="s">
        <v>186</v>
      </c>
      <c r="E129" s="11" t="s">
        <v>318</v>
      </c>
      <c r="F129" s="11" t="s">
        <v>188</v>
      </c>
      <c r="G129" s="8" t="n">
        <v>10</v>
      </c>
    </row>
    <row r="130" customFormat="false" ht="15" hidden="false" customHeight="false" outlineLevel="0" collapsed="false">
      <c r="A130" s="10"/>
      <c r="B130" s="11"/>
      <c r="C130" s="8" t="n">
        <v>6</v>
      </c>
      <c r="D130" s="10" t="s">
        <v>186</v>
      </c>
      <c r="E130" s="11" t="s">
        <v>319</v>
      </c>
      <c r="F130" s="11" t="s">
        <v>188</v>
      </c>
      <c r="G130" s="8" t="n">
        <v>10</v>
      </c>
    </row>
    <row r="131" customFormat="false" ht="23.85" hidden="false" customHeight="false" outlineLevel="0" collapsed="false">
      <c r="A131" s="10"/>
      <c r="B131" s="11"/>
      <c r="C131" s="8" t="n">
        <v>7</v>
      </c>
      <c r="D131" s="10" t="s">
        <v>191</v>
      </c>
      <c r="E131" s="11" t="s">
        <v>320</v>
      </c>
      <c r="F131" s="11" t="s">
        <v>193</v>
      </c>
      <c r="G131" s="8" t="n">
        <v>25</v>
      </c>
    </row>
    <row r="132" customFormat="false" ht="23.85" hidden="false" customHeight="false" outlineLevel="0" collapsed="false">
      <c r="A132" s="10"/>
      <c r="B132" s="11"/>
      <c r="C132" s="8" t="n">
        <v>8</v>
      </c>
      <c r="D132" s="10" t="s">
        <v>191</v>
      </c>
      <c r="E132" s="11" t="s">
        <v>321</v>
      </c>
      <c r="F132" s="11" t="s">
        <v>193</v>
      </c>
      <c r="G132" s="8" t="n">
        <v>25</v>
      </c>
    </row>
    <row r="133" customFormat="false" ht="23.85" hidden="false" customHeight="false" outlineLevel="0" collapsed="false">
      <c r="A133" s="10"/>
      <c r="B133" s="11"/>
      <c r="C133" s="8" t="n">
        <v>9</v>
      </c>
      <c r="D133" s="10" t="s">
        <v>191</v>
      </c>
      <c r="E133" s="11" t="s">
        <v>322</v>
      </c>
      <c r="F133" s="11" t="s">
        <v>193</v>
      </c>
      <c r="G133" s="8" t="n">
        <v>25</v>
      </c>
    </row>
    <row r="134" customFormat="false" ht="23.85" hidden="false" customHeight="false" outlineLevel="0" collapsed="false">
      <c r="A134" s="10"/>
      <c r="B134" s="11"/>
      <c r="C134" s="8" t="n">
        <v>10</v>
      </c>
      <c r="D134" s="10" t="s">
        <v>191</v>
      </c>
      <c r="E134" s="11" t="s">
        <v>323</v>
      </c>
      <c r="F134" s="11" t="s">
        <v>193</v>
      </c>
      <c r="G134" s="8" t="n">
        <v>25</v>
      </c>
    </row>
    <row r="135" customFormat="false" ht="23.85" hidden="false" customHeight="false" outlineLevel="0" collapsed="false">
      <c r="A135" s="10"/>
      <c r="B135" s="11"/>
      <c r="C135" s="8" t="n">
        <v>11</v>
      </c>
      <c r="D135" s="10" t="s">
        <v>191</v>
      </c>
      <c r="E135" s="11" t="s">
        <v>324</v>
      </c>
      <c r="F135" s="11" t="s">
        <v>193</v>
      </c>
      <c r="G135" s="8" t="n">
        <v>25</v>
      </c>
    </row>
    <row r="136" customFormat="false" ht="23.85" hidden="false" customHeight="false" outlineLevel="0" collapsed="false">
      <c r="A136" s="10"/>
      <c r="B136" s="11"/>
      <c r="C136" s="8" t="n">
        <v>12</v>
      </c>
      <c r="D136" s="10" t="s">
        <v>191</v>
      </c>
      <c r="E136" s="11" t="s">
        <v>325</v>
      </c>
      <c r="F136" s="11" t="s">
        <v>193</v>
      </c>
      <c r="G136" s="8" t="n">
        <v>25</v>
      </c>
    </row>
    <row r="137" customFormat="false" ht="23.85" hidden="false" customHeight="false" outlineLevel="0" collapsed="false">
      <c r="A137" s="10"/>
      <c r="B137" s="11"/>
      <c r="C137" s="8" t="n">
        <v>13</v>
      </c>
      <c r="D137" s="10" t="s">
        <v>191</v>
      </c>
      <c r="E137" s="11" t="s">
        <v>326</v>
      </c>
      <c r="F137" s="11" t="s">
        <v>193</v>
      </c>
      <c r="G137" s="8" t="n">
        <v>25</v>
      </c>
    </row>
    <row r="138" customFormat="false" ht="23.85" hidden="false" customHeight="false" outlineLevel="0" collapsed="false">
      <c r="A138" s="10"/>
      <c r="B138" s="11"/>
      <c r="C138" s="8" t="n">
        <v>14</v>
      </c>
      <c r="D138" s="10" t="s">
        <v>191</v>
      </c>
      <c r="E138" s="11" t="s">
        <v>327</v>
      </c>
      <c r="F138" s="11" t="s">
        <v>193</v>
      </c>
      <c r="G138" s="8" t="n">
        <v>25</v>
      </c>
    </row>
    <row r="139" customFormat="false" ht="15" hidden="false" customHeight="false" outlineLevel="0" collapsed="false">
      <c r="A139" s="10"/>
      <c r="B139" s="11"/>
      <c r="C139" s="8" t="n">
        <v>15</v>
      </c>
      <c r="D139" s="10" t="s">
        <v>201</v>
      </c>
      <c r="E139" s="11" t="s">
        <v>328</v>
      </c>
      <c r="F139" s="11" t="s">
        <v>203</v>
      </c>
      <c r="G139" s="8" t="n">
        <v>70</v>
      </c>
    </row>
    <row r="140" customFormat="false" ht="15" hidden="false" customHeight="false" outlineLevel="0" collapsed="false">
      <c r="A140" s="10"/>
      <c r="B140" s="11"/>
      <c r="C140" s="8" t="n">
        <v>16</v>
      </c>
      <c r="D140" s="10" t="s">
        <v>201</v>
      </c>
      <c r="E140" s="11" t="s">
        <v>329</v>
      </c>
      <c r="F140" s="11" t="s">
        <v>203</v>
      </c>
      <c r="G140" s="8" t="n">
        <v>70</v>
      </c>
    </row>
    <row r="141" customFormat="false" ht="15" hidden="false" customHeight="false" outlineLevel="0" collapsed="false">
      <c r="A141" s="10"/>
      <c r="B141" s="11"/>
      <c r="C141" s="8" t="n">
        <v>17</v>
      </c>
      <c r="D141" s="10" t="s">
        <v>201</v>
      </c>
      <c r="E141" s="11" t="s">
        <v>330</v>
      </c>
      <c r="F141" s="11" t="s">
        <v>203</v>
      </c>
      <c r="G141" s="8" t="n">
        <v>70</v>
      </c>
    </row>
    <row r="142" customFormat="false" ht="15" hidden="false" customHeight="false" outlineLevel="0" collapsed="false">
      <c r="A142" s="10"/>
      <c r="B142" s="11"/>
      <c r="C142" s="8" t="n">
        <v>18</v>
      </c>
      <c r="D142" s="10" t="s">
        <v>201</v>
      </c>
      <c r="E142" s="11" t="s">
        <v>331</v>
      </c>
      <c r="F142" s="11" t="s">
        <v>203</v>
      </c>
      <c r="G142" s="8" t="n">
        <v>70</v>
      </c>
    </row>
    <row r="143" customFormat="false" ht="15" hidden="false" customHeight="false" outlineLevel="0" collapsed="false">
      <c r="A143" s="10"/>
      <c r="B143" s="11"/>
      <c r="C143" s="8" t="n">
        <v>19</v>
      </c>
      <c r="D143" s="10" t="s">
        <v>201</v>
      </c>
      <c r="E143" s="11" t="s">
        <v>332</v>
      </c>
      <c r="F143" s="11" t="s">
        <v>203</v>
      </c>
      <c r="G143" s="8" t="n">
        <v>70</v>
      </c>
    </row>
    <row r="144" customFormat="false" ht="15" hidden="false" customHeight="false" outlineLevel="0" collapsed="false">
      <c r="A144" s="10"/>
      <c r="B144" s="11"/>
      <c r="C144" s="8" t="n">
        <v>20</v>
      </c>
      <c r="D144" s="10" t="s">
        <v>201</v>
      </c>
      <c r="E144" s="11" t="s">
        <v>333</v>
      </c>
      <c r="F144" s="11" t="s">
        <v>203</v>
      </c>
      <c r="G144" s="8" t="n">
        <v>70</v>
      </c>
    </row>
    <row r="145" customFormat="false" ht="15" hidden="false" customHeight="false" outlineLevel="0" collapsed="false">
      <c r="A145" s="10"/>
      <c r="B145" s="11"/>
      <c r="C145" s="8" t="n">
        <v>21</v>
      </c>
      <c r="D145" s="10" t="s">
        <v>201</v>
      </c>
      <c r="E145" s="11" t="s">
        <v>334</v>
      </c>
      <c r="F145" s="11" t="s">
        <v>203</v>
      </c>
      <c r="G145" s="8" t="n">
        <v>70</v>
      </c>
    </row>
    <row r="146" customFormat="false" ht="15" hidden="false" customHeight="false" outlineLevel="0" collapsed="false">
      <c r="A146" s="10"/>
      <c r="B146" s="11"/>
      <c r="C146" s="8" t="n">
        <v>22</v>
      </c>
      <c r="D146" s="10" t="s">
        <v>201</v>
      </c>
      <c r="E146" s="11" t="s">
        <v>335</v>
      </c>
      <c r="F146" s="11" t="s">
        <v>203</v>
      </c>
      <c r="G146" s="8" t="n">
        <v>70</v>
      </c>
    </row>
    <row r="147" customFormat="false" ht="15" hidden="false" customHeight="false" outlineLevel="0" collapsed="false">
      <c r="A147" s="10"/>
      <c r="B147" s="11"/>
      <c r="C147" s="8" t="n">
        <v>23</v>
      </c>
      <c r="D147" s="10" t="s">
        <v>211</v>
      </c>
      <c r="E147" s="11" t="s">
        <v>336</v>
      </c>
      <c r="F147" s="11" t="s">
        <v>213</v>
      </c>
      <c r="G147" s="8" t="n">
        <v>100</v>
      </c>
    </row>
    <row r="148" customFormat="false" ht="15" hidden="false" customHeight="false" outlineLevel="0" collapsed="false">
      <c r="A148" s="10"/>
      <c r="B148" s="11"/>
      <c r="C148" s="8" t="n">
        <v>24</v>
      </c>
      <c r="D148" s="10" t="s">
        <v>211</v>
      </c>
      <c r="E148" s="11" t="s">
        <v>337</v>
      </c>
      <c r="F148" s="11" t="s">
        <v>213</v>
      </c>
      <c r="G148" s="8" t="n">
        <v>100</v>
      </c>
    </row>
    <row r="149" customFormat="false" ht="15" hidden="false" customHeight="false" outlineLevel="0" collapsed="false">
      <c r="A149" s="10"/>
      <c r="B149" s="11"/>
      <c r="C149" s="8" t="n">
        <v>25</v>
      </c>
      <c r="D149" s="10" t="s">
        <v>211</v>
      </c>
      <c r="E149" s="11" t="s">
        <v>338</v>
      </c>
      <c r="F149" s="11" t="s">
        <v>213</v>
      </c>
      <c r="G149" s="8" t="n">
        <v>100</v>
      </c>
    </row>
    <row r="150" customFormat="false" ht="15" hidden="false" customHeight="false" outlineLevel="0" collapsed="false">
      <c r="A150" s="10"/>
      <c r="B150" s="11"/>
      <c r="C150" s="8" t="n">
        <v>26</v>
      </c>
      <c r="D150" s="10" t="s">
        <v>211</v>
      </c>
      <c r="E150" s="11" t="s">
        <v>339</v>
      </c>
      <c r="F150" s="11" t="s">
        <v>213</v>
      </c>
      <c r="G150" s="8" t="n">
        <v>100</v>
      </c>
    </row>
    <row r="151" customFormat="false" ht="15" hidden="false" customHeight="false" outlineLevel="0" collapsed="false">
      <c r="A151" s="10"/>
      <c r="B151" s="11"/>
      <c r="C151" s="8" t="n">
        <v>27</v>
      </c>
      <c r="D151" s="10" t="s">
        <v>211</v>
      </c>
      <c r="E151" s="11" t="s">
        <v>340</v>
      </c>
      <c r="F151" s="11" t="s">
        <v>213</v>
      </c>
      <c r="G151" s="8" t="n">
        <v>100</v>
      </c>
    </row>
    <row r="152" customFormat="false" ht="15" hidden="false" customHeight="false" outlineLevel="0" collapsed="false">
      <c r="A152" s="10"/>
      <c r="B152" s="11"/>
      <c r="C152" s="8" t="n">
        <v>28</v>
      </c>
      <c r="D152" s="10" t="s">
        <v>211</v>
      </c>
      <c r="E152" s="11" t="s">
        <v>341</v>
      </c>
      <c r="F152" s="11" t="s">
        <v>213</v>
      </c>
      <c r="G152" s="8" t="n">
        <v>100</v>
      </c>
    </row>
    <row r="153" customFormat="false" ht="15" hidden="false" customHeight="false" outlineLevel="0" collapsed="false">
      <c r="A153" s="10"/>
      <c r="B153" s="11"/>
      <c r="C153" s="8" t="n">
        <v>29</v>
      </c>
      <c r="D153" s="10" t="s">
        <v>211</v>
      </c>
      <c r="E153" s="11" t="s">
        <v>342</v>
      </c>
      <c r="F153" s="11" t="s">
        <v>213</v>
      </c>
      <c r="G153" s="8" t="n">
        <v>100</v>
      </c>
    </row>
    <row r="154" customFormat="false" ht="15" hidden="false" customHeight="false" outlineLevel="0" collapsed="false">
      <c r="A154" s="10"/>
      <c r="B154" s="11"/>
      <c r="C154" s="8" t="n">
        <v>30</v>
      </c>
      <c r="D154" s="10" t="s">
        <v>211</v>
      </c>
      <c r="E154" s="11" t="s">
        <v>343</v>
      </c>
      <c r="F154" s="11" t="s">
        <v>213</v>
      </c>
      <c r="G154" s="8" t="n">
        <v>100</v>
      </c>
    </row>
    <row r="155" customFormat="false" ht="15" hidden="false" customHeight="false" outlineLevel="0" collapsed="false">
      <c r="A155" s="10"/>
      <c r="B155" s="11"/>
      <c r="C155" s="8" t="n">
        <v>31</v>
      </c>
      <c r="D155" s="10" t="s">
        <v>221</v>
      </c>
      <c r="E155" s="11" t="s">
        <v>344</v>
      </c>
      <c r="F155" s="11" t="s">
        <v>223</v>
      </c>
      <c r="G155" s="8" t="n">
        <v>125</v>
      </c>
    </row>
    <row r="156" customFormat="false" ht="15" hidden="false" customHeight="false" outlineLevel="0" collapsed="false">
      <c r="A156" s="10"/>
      <c r="B156" s="11"/>
      <c r="C156" s="8" t="n">
        <v>32</v>
      </c>
      <c r="D156" s="10" t="s">
        <v>221</v>
      </c>
      <c r="E156" s="11" t="s">
        <v>345</v>
      </c>
      <c r="F156" s="11" t="s">
        <v>223</v>
      </c>
      <c r="G156" s="8" t="n">
        <v>125</v>
      </c>
    </row>
    <row r="157" customFormat="false" ht="15" hidden="false" customHeight="false" outlineLevel="0" collapsed="false">
      <c r="A157" s="10"/>
      <c r="B157" s="11"/>
      <c r="C157" s="8" t="n">
        <v>33</v>
      </c>
      <c r="D157" s="10" t="s">
        <v>221</v>
      </c>
      <c r="E157" s="11" t="s">
        <v>346</v>
      </c>
      <c r="F157" s="11" t="s">
        <v>223</v>
      </c>
      <c r="G157" s="8" t="n">
        <v>125</v>
      </c>
    </row>
    <row r="158" customFormat="false" ht="15" hidden="false" customHeight="false" outlineLevel="0" collapsed="false">
      <c r="A158" s="10"/>
      <c r="B158" s="11"/>
      <c r="C158" s="8" t="n">
        <v>34</v>
      </c>
      <c r="D158" s="10" t="s">
        <v>221</v>
      </c>
      <c r="E158" s="11" t="s">
        <v>347</v>
      </c>
      <c r="F158" s="11" t="s">
        <v>223</v>
      </c>
      <c r="G158" s="8" t="n">
        <v>125</v>
      </c>
    </row>
    <row r="159" customFormat="false" ht="15" hidden="false" customHeight="false" outlineLevel="0" collapsed="false">
      <c r="A159" s="10"/>
      <c r="B159" s="11"/>
      <c r="C159" s="8" t="n">
        <v>35</v>
      </c>
      <c r="D159" s="10" t="s">
        <v>227</v>
      </c>
      <c r="E159" s="11" t="s">
        <v>348</v>
      </c>
      <c r="F159" s="11" t="s">
        <v>229</v>
      </c>
      <c r="G159" s="8" t="n">
        <v>165</v>
      </c>
    </row>
    <row r="160" customFormat="false" ht="15" hidden="false" customHeight="false" outlineLevel="0" collapsed="false">
      <c r="A160" s="10"/>
      <c r="B160" s="11"/>
      <c r="C160" s="8" t="n">
        <v>36</v>
      </c>
      <c r="D160" s="10" t="s">
        <v>227</v>
      </c>
      <c r="E160" s="11" t="s">
        <v>349</v>
      </c>
      <c r="F160" s="11" t="s">
        <v>229</v>
      </c>
      <c r="G160" s="8" t="n">
        <v>165</v>
      </c>
    </row>
    <row r="161" customFormat="false" ht="15" hidden="false" customHeight="false" outlineLevel="0" collapsed="false">
      <c r="A161" s="10"/>
      <c r="B161" s="11"/>
      <c r="C161" s="8" t="n">
        <v>37</v>
      </c>
      <c r="D161" s="10" t="s">
        <v>227</v>
      </c>
      <c r="E161" s="11" t="s">
        <v>350</v>
      </c>
      <c r="F161" s="11" t="s">
        <v>229</v>
      </c>
      <c r="G161" s="8" t="n">
        <v>165</v>
      </c>
    </row>
    <row r="162" customFormat="false" ht="15" hidden="false" customHeight="false" outlineLevel="0" collapsed="false">
      <c r="A162" s="10"/>
      <c r="B162" s="11"/>
      <c r="C162" s="8" t="n">
        <v>38</v>
      </c>
      <c r="D162" s="10" t="s">
        <v>227</v>
      </c>
      <c r="E162" s="11" t="s">
        <v>351</v>
      </c>
      <c r="F162" s="11" t="s">
        <v>229</v>
      </c>
      <c r="G162" s="8" t="n">
        <v>165</v>
      </c>
    </row>
    <row r="163" customFormat="false" ht="23.85" hidden="false" customHeight="false" outlineLevel="0" collapsed="false">
      <c r="A163" s="10"/>
      <c r="B163" s="11"/>
      <c r="C163" s="8" t="n">
        <v>39</v>
      </c>
      <c r="D163" s="10" t="s">
        <v>233</v>
      </c>
      <c r="E163" s="11" t="s">
        <v>352</v>
      </c>
      <c r="F163" s="11" t="s">
        <v>235</v>
      </c>
      <c r="G163" s="8" t="n">
        <v>175</v>
      </c>
    </row>
    <row r="164" customFormat="false" ht="23.85" hidden="false" customHeight="false" outlineLevel="0" collapsed="false">
      <c r="A164" s="10"/>
      <c r="B164" s="11"/>
      <c r="C164" s="8" t="n">
        <v>40</v>
      </c>
      <c r="D164" s="10" t="s">
        <v>233</v>
      </c>
      <c r="E164" s="11" t="s">
        <v>276</v>
      </c>
      <c r="F164" s="11" t="s">
        <v>235</v>
      </c>
      <c r="G164" s="8" t="n">
        <v>175</v>
      </c>
    </row>
    <row r="165" customFormat="false" ht="23.85" hidden="false" customHeight="false" outlineLevel="0" collapsed="false">
      <c r="A165" s="6" t="n">
        <v>5</v>
      </c>
      <c r="B165" s="7" t="s">
        <v>23</v>
      </c>
      <c r="C165" s="4" t="n">
        <v>1</v>
      </c>
      <c r="D165" s="6" t="s">
        <v>86</v>
      </c>
      <c r="E165" s="7" t="s">
        <v>353</v>
      </c>
      <c r="F165" s="7" t="s">
        <v>183</v>
      </c>
      <c r="G165" s="4" t="n">
        <v>0</v>
      </c>
    </row>
    <row r="166" customFormat="false" ht="15" hidden="false" customHeight="false" outlineLevel="0" collapsed="false">
      <c r="A166" s="6"/>
      <c r="B166" s="7"/>
      <c r="C166" s="4" t="n">
        <v>2</v>
      </c>
      <c r="D166" s="6" t="s">
        <v>86</v>
      </c>
      <c r="E166" s="7" t="s">
        <v>238</v>
      </c>
      <c r="F166" s="7" t="s">
        <v>183</v>
      </c>
      <c r="G166" s="4" t="n">
        <v>0</v>
      </c>
    </row>
    <row r="167" customFormat="false" ht="15" hidden="false" customHeight="false" outlineLevel="0" collapsed="false">
      <c r="A167" s="6"/>
      <c r="B167" s="7"/>
      <c r="C167" s="4" t="n">
        <v>3</v>
      </c>
      <c r="D167" s="6" t="s">
        <v>86</v>
      </c>
      <c r="E167" s="7" t="s">
        <v>354</v>
      </c>
      <c r="F167" s="7" t="s">
        <v>183</v>
      </c>
      <c r="G167" s="4" t="n">
        <v>0</v>
      </c>
    </row>
    <row r="168" customFormat="false" ht="15" hidden="false" customHeight="false" outlineLevel="0" collapsed="false">
      <c r="A168" s="6"/>
      <c r="B168" s="7"/>
      <c r="C168" s="4" t="n">
        <v>4</v>
      </c>
      <c r="D168" s="6" t="s">
        <v>186</v>
      </c>
      <c r="E168" s="7" t="s">
        <v>355</v>
      </c>
      <c r="F168" s="7" t="s">
        <v>188</v>
      </c>
      <c r="G168" s="4" t="n">
        <v>10</v>
      </c>
    </row>
    <row r="169" customFormat="false" ht="15" hidden="false" customHeight="false" outlineLevel="0" collapsed="false">
      <c r="A169" s="6"/>
      <c r="B169" s="7"/>
      <c r="C169" s="4" t="n">
        <v>5</v>
      </c>
      <c r="D169" s="6" t="s">
        <v>186</v>
      </c>
      <c r="E169" s="7" t="s">
        <v>356</v>
      </c>
      <c r="F169" s="7" t="s">
        <v>188</v>
      </c>
      <c r="G169" s="4" t="n">
        <v>10</v>
      </c>
    </row>
    <row r="170" customFormat="false" ht="23.85" hidden="false" customHeight="false" outlineLevel="0" collapsed="false">
      <c r="A170" s="6"/>
      <c r="B170" s="7"/>
      <c r="C170" s="4" t="n">
        <v>6</v>
      </c>
      <c r="D170" s="6" t="s">
        <v>186</v>
      </c>
      <c r="E170" s="7" t="s">
        <v>357</v>
      </c>
      <c r="F170" s="7" t="s">
        <v>188</v>
      </c>
      <c r="G170" s="4" t="n">
        <v>10</v>
      </c>
    </row>
    <row r="171" customFormat="false" ht="23.85" hidden="false" customHeight="false" outlineLevel="0" collapsed="false">
      <c r="A171" s="6"/>
      <c r="B171" s="7"/>
      <c r="C171" s="4" t="n">
        <v>7</v>
      </c>
      <c r="D171" s="6" t="s">
        <v>191</v>
      </c>
      <c r="E171" s="7" t="s">
        <v>358</v>
      </c>
      <c r="F171" s="7" t="s">
        <v>193</v>
      </c>
      <c r="G171" s="4" t="n">
        <v>25</v>
      </c>
    </row>
    <row r="172" customFormat="false" ht="23.85" hidden="false" customHeight="false" outlineLevel="0" collapsed="false">
      <c r="A172" s="6"/>
      <c r="B172" s="7"/>
      <c r="C172" s="4" t="n">
        <v>8</v>
      </c>
      <c r="D172" s="6" t="s">
        <v>191</v>
      </c>
      <c r="E172" s="7" t="s">
        <v>359</v>
      </c>
      <c r="F172" s="7" t="s">
        <v>193</v>
      </c>
      <c r="G172" s="4" t="n">
        <v>25</v>
      </c>
    </row>
    <row r="173" customFormat="false" ht="23.85" hidden="false" customHeight="false" outlineLevel="0" collapsed="false">
      <c r="A173" s="6"/>
      <c r="B173" s="7"/>
      <c r="C173" s="4" t="n">
        <v>9</v>
      </c>
      <c r="D173" s="6" t="s">
        <v>191</v>
      </c>
      <c r="E173" s="7" t="s">
        <v>360</v>
      </c>
      <c r="F173" s="7" t="s">
        <v>193</v>
      </c>
      <c r="G173" s="4" t="n">
        <v>25</v>
      </c>
    </row>
    <row r="174" customFormat="false" ht="23.85" hidden="false" customHeight="false" outlineLevel="0" collapsed="false">
      <c r="A174" s="6"/>
      <c r="B174" s="7"/>
      <c r="C174" s="4" t="n">
        <v>10</v>
      </c>
      <c r="D174" s="6" t="s">
        <v>191</v>
      </c>
      <c r="E174" s="7" t="s">
        <v>361</v>
      </c>
      <c r="F174" s="7" t="s">
        <v>193</v>
      </c>
      <c r="G174" s="4" t="n">
        <v>25</v>
      </c>
    </row>
    <row r="175" customFormat="false" ht="23.85" hidden="false" customHeight="false" outlineLevel="0" collapsed="false">
      <c r="A175" s="6"/>
      <c r="B175" s="7"/>
      <c r="C175" s="4" t="n">
        <v>11</v>
      </c>
      <c r="D175" s="6" t="s">
        <v>191</v>
      </c>
      <c r="E175" s="7" t="s">
        <v>362</v>
      </c>
      <c r="F175" s="7" t="s">
        <v>193</v>
      </c>
      <c r="G175" s="4" t="n">
        <v>25</v>
      </c>
    </row>
    <row r="176" customFormat="false" ht="23.85" hidden="false" customHeight="false" outlineLevel="0" collapsed="false">
      <c r="A176" s="6"/>
      <c r="B176" s="7"/>
      <c r="C176" s="4" t="n">
        <v>12</v>
      </c>
      <c r="D176" s="6" t="s">
        <v>191</v>
      </c>
      <c r="E176" s="7" t="s">
        <v>363</v>
      </c>
      <c r="F176" s="7" t="s">
        <v>193</v>
      </c>
      <c r="G176" s="4" t="n">
        <v>25</v>
      </c>
    </row>
    <row r="177" customFormat="false" ht="23.85" hidden="false" customHeight="false" outlineLevel="0" collapsed="false">
      <c r="A177" s="6"/>
      <c r="B177" s="7"/>
      <c r="C177" s="4" t="n">
        <v>13</v>
      </c>
      <c r="D177" s="6" t="s">
        <v>191</v>
      </c>
      <c r="E177" s="7" t="s">
        <v>364</v>
      </c>
      <c r="F177" s="7" t="s">
        <v>193</v>
      </c>
      <c r="G177" s="4" t="n">
        <v>25</v>
      </c>
    </row>
    <row r="178" customFormat="false" ht="23.85" hidden="false" customHeight="false" outlineLevel="0" collapsed="false">
      <c r="A178" s="6"/>
      <c r="B178" s="7"/>
      <c r="C178" s="4" t="n">
        <v>14</v>
      </c>
      <c r="D178" s="6" t="s">
        <v>191</v>
      </c>
      <c r="E178" s="7" t="s">
        <v>365</v>
      </c>
      <c r="F178" s="7" t="s">
        <v>193</v>
      </c>
      <c r="G178" s="4" t="n">
        <v>25</v>
      </c>
    </row>
    <row r="179" customFormat="false" ht="15" hidden="false" customHeight="false" outlineLevel="0" collapsed="false">
      <c r="A179" s="6"/>
      <c r="B179" s="7"/>
      <c r="C179" s="4" t="n">
        <v>15</v>
      </c>
      <c r="D179" s="6" t="s">
        <v>201</v>
      </c>
      <c r="E179" s="7" t="s">
        <v>366</v>
      </c>
      <c r="F179" s="7" t="s">
        <v>203</v>
      </c>
      <c r="G179" s="4" t="n">
        <v>70</v>
      </c>
    </row>
    <row r="180" customFormat="false" ht="15" hidden="false" customHeight="false" outlineLevel="0" collapsed="false">
      <c r="A180" s="6"/>
      <c r="B180" s="7"/>
      <c r="C180" s="4" t="n">
        <v>16</v>
      </c>
      <c r="D180" s="6" t="s">
        <v>201</v>
      </c>
      <c r="E180" s="7" t="s">
        <v>367</v>
      </c>
      <c r="F180" s="7" t="s">
        <v>203</v>
      </c>
      <c r="G180" s="4" t="n">
        <v>70</v>
      </c>
    </row>
    <row r="181" customFormat="false" ht="15" hidden="false" customHeight="false" outlineLevel="0" collapsed="false">
      <c r="A181" s="6"/>
      <c r="B181" s="7"/>
      <c r="C181" s="4" t="n">
        <v>17</v>
      </c>
      <c r="D181" s="6" t="s">
        <v>201</v>
      </c>
      <c r="E181" s="7" t="s">
        <v>368</v>
      </c>
      <c r="F181" s="7" t="s">
        <v>203</v>
      </c>
      <c r="G181" s="4" t="n">
        <v>70</v>
      </c>
    </row>
    <row r="182" customFormat="false" ht="15" hidden="false" customHeight="false" outlineLevel="0" collapsed="false">
      <c r="A182" s="6"/>
      <c r="B182" s="7"/>
      <c r="C182" s="4" t="n">
        <v>18</v>
      </c>
      <c r="D182" s="6" t="s">
        <v>201</v>
      </c>
      <c r="E182" s="7" t="s">
        <v>369</v>
      </c>
      <c r="F182" s="7" t="s">
        <v>203</v>
      </c>
      <c r="G182" s="4" t="n">
        <v>70</v>
      </c>
    </row>
    <row r="183" customFormat="false" ht="15" hidden="false" customHeight="false" outlineLevel="0" collapsed="false">
      <c r="A183" s="6"/>
      <c r="B183" s="7"/>
      <c r="C183" s="4" t="n">
        <v>19</v>
      </c>
      <c r="D183" s="6" t="s">
        <v>201</v>
      </c>
      <c r="E183" s="7" t="s">
        <v>370</v>
      </c>
      <c r="F183" s="7" t="s">
        <v>203</v>
      </c>
      <c r="G183" s="4" t="n">
        <v>70</v>
      </c>
    </row>
    <row r="184" customFormat="false" ht="15" hidden="false" customHeight="false" outlineLevel="0" collapsed="false">
      <c r="A184" s="6"/>
      <c r="B184" s="7"/>
      <c r="C184" s="4" t="n">
        <v>20</v>
      </c>
      <c r="D184" s="6" t="s">
        <v>201</v>
      </c>
      <c r="E184" s="7" t="s">
        <v>371</v>
      </c>
      <c r="F184" s="7" t="s">
        <v>203</v>
      </c>
      <c r="G184" s="4" t="n">
        <v>70</v>
      </c>
    </row>
    <row r="185" customFormat="false" ht="15" hidden="false" customHeight="false" outlineLevel="0" collapsed="false">
      <c r="A185" s="6"/>
      <c r="B185" s="7"/>
      <c r="C185" s="4" t="n">
        <v>21</v>
      </c>
      <c r="D185" s="6" t="s">
        <v>201</v>
      </c>
      <c r="E185" s="7" t="s">
        <v>372</v>
      </c>
      <c r="F185" s="7" t="s">
        <v>203</v>
      </c>
      <c r="G185" s="4" t="n">
        <v>70</v>
      </c>
    </row>
    <row r="186" customFormat="false" ht="15" hidden="false" customHeight="false" outlineLevel="0" collapsed="false">
      <c r="A186" s="6"/>
      <c r="B186" s="7"/>
      <c r="C186" s="4" t="n">
        <v>22</v>
      </c>
      <c r="D186" s="6" t="s">
        <v>201</v>
      </c>
      <c r="E186" s="7" t="s">
        <v>373</v>
      </c>
      <c r="F186" s="7" t="s">
        <v>203</v>
      </c>
      <c r="G186" s="4" t="n">
        <v>70</v>
      </c>
    </row>
    <row r="187" customFormat="false" ht="15" hidden="false" customHeight="false" outlineLevel="0" collapsed="false">
      <c r="A187" s="6"/>
      <c r="B187" s="7"/>
      <c r="C187" s="4" t="n">
        <v>23</v>
      </c>
      <c r="D187" s="6" t="s">
        <v>211</v>
      </c>
      <c r="E187" s="7" t="s">
        <v>374</v>
      </c>
      <c r="F187" s="7" t="s">
        <v>213</v>
      </c>
      <c r="G187" s="4" t="n">
        <v>100</v>
      </c>
    </row>
    <row r="188" customFormat="false" ht="15" hidden="false" customHeight="false" outlineLevel="0" collapsed="false">
      <c r="A188" s="6"/>
      <c r="B188" s="7"/>
      <c r="C188" s="4" t="n">
        <v>24</v>
      </c>
      <c r="D188" s="6" t="s">
        <v>211</v>
      </c>
      <c r="E188" s="7" t="s">
        <v>375</v>
      </c>
      <c r="F188" s="7" t="s">
        <v>213</v>
      </c>
      <c r="G188" s="4" t="n">
        <v>100</v>
      </c>
    </row>
    <row r="189" customFormat="false" ht="15" hidden="false" customHeight="false" outlineLevel="0" collapsed="false">
      <c r="A189" s="6"/>
      <c r="B189" s="7"/>
      <c r="C189" s="4" t="n">
        <v>25</v>
      </c>
      <c r="D189" s="6" t="s">
        <v>211</v>
      </c>
      <c r="E189" s="7" t="s">
        <v>376</v>
      </c>
      <c r="F189" s="7" t="s">
        <v>213</v>
      </c>
      <c r="G189" s="4" t="n">
        <v>100</v>
      </c>
    </row>
    <row r="190" customFormat="false" ht="15" hidden="false" customHeight="false" outlineLevel="0" collapsed="false">
      <c r="A190" s="6"/>
      <c r="B190" s="7"/>
      <c r="C190" s="4" t="n">
        <v>26</v>
      </c>
      <c r="D190" s="6" t="s">
        <v>211</v>
      </c>
      <c r="E190" s="7" t="s">
        <v>377</v>
      </c>
      <c r="F190" s="7" t="s">
        <v>213</v>
      </c>
      <c r="G190" s="4" t="n">
        <v>100</v>
      </c>
    </row>
    <row r="191" customFormat="false" ht="15" hidden="false" customHeight="false" outlineLevel="0" collapsed="false">
      <c r="A191" s="6"/>
      <c r="B191" s="7"/>
      <c r="C191" s="4" t="n">
        <v>27</v>
      </c>
      <c r="D191" s="6" t="s">
        <v>211</v>
      </c>
      <c r="E191" s="7" t="s">
        <v>378</v>
      </c>
      <c r="F191" s="7" t="s">
        <v>213</v>
      </c>
      <c r="G191" s="4" t="n">
        <v>100</v>
      </c>
    </row>
    <row r="192" customFormat="false" ht="23.85" hidden="false" customHeight="false" outlineLevel="0" collapsed="false">
      <c r="A192" s="6"/>
      <c r="B192" s="7"/>
      <c r="C192" s="4" t="n">
        <v>28</v>
      </c>
      <c r="D192" s="6" t="s">
        <v>211</v>
      </c>
      <c r="E192" s="7" t="s">
        <v>379</v>
      </c>
      <c r="F192" s="7" t="s">
        <v>213</v>
      </c>
      <c r="G192" s="4" t="n">
        <v>100</v>
      </c>
    </row>
    <row r="193" customFormat="false" ht="15" hidden="false" customHeight="false" outlineLevel="0" collapsed="false">
      <c r="A193" s="6"/>
      <c r="B193" s="7"/>
      <c r="C193" s="4" t="n">
        <v>29</v>
      </c>
      <c r="D193" s="6" t="s">
        <v>211</v>
      </c>
      <c r="E193" s="7" t="s">
        <v>380</v>
      </c>
      <c r="F193" s="7" t="s">
        <v>213</v>
      </c>
      <c r="G193" s="4" t="n">
        <v>100</v>
      </c>
    </row>
    <row r="194" customFormat="false" ht="15" hidden="false" customHeight="false" outlineLevel="0" collapsed="false">
      <c r="A194" s="6"/>
      <c r="B194" s="7"/>
      <c r="C194" s="4" t="n">
        <v>30</v>
      </c>
      <c r="D194" s="6" t="s">
        <v>211</v>
      </c>
      <c r="E194" s="7" t="s">
        <v>381</v>
      </c>
      <c r="F194" s="7" t="s">
        <v>213</v>
      </c>
      <c r="G194" s="4" t="n">
        <v>100</v>
      </c>
    </row>
    <row r="195" customFormat="false" ht="15" hidden="false" customHeight="false" outlineLevel="0" collapsed="false">
      <c r="A195" s="6"/>
      <c r="B195" s="7"/>
      <c r="C195" s="4" t="n">
        <v>31</v>
      </c>
      <c r="D195" s="6" t="s">
        <v>221</v>
      </c>
      <c r="E195" s="7" t="s">
        <v>382</v>
      </c>
      <c r="F195" s="7" t="s">
        <v>223</v>
      </c>
      <c r="G195" s="4" t="n">
        <v>125</v>
      </c>
    </row>
    <row r="196" customFormat="false" ht="15" hidden="false" customHeight="false" outlineLevel="0" collapsed="false">
      <c r="A196" s="6"/>
      <c r="B196" s="7"/>
      <c r="C196" s="4" t="n">
        <v>32</v>
      </c>
      <c r="D196" s="6" t="s">
        <v>221</v>
      </c>
      <c r="E196" s="7" t="s">
        <v>383</v>
      </c>
      <c r="F196" s="7" t="s">
        <v>223</v>
      </c>
      <c r="G196" s="4" t="n">
        <v>125</v>
      </c>
    </row>
    <row r="197" customFormat="false" ht="15" hidden="false" customHeight="false" outlineLevel="0" collapsed="false">
      <c r="A197" s="6"/>
      <c r="B197" s="7"/>
      <c r="C197" s="4" t="n">
        <v>33</v>
      </c>
      <c r="D197" s="6" t="s">
        <v>221</v>
      </c>
      <c r="E197" s="7" t="s">
        <v>308</v>
      </c>
      <c r="F197" s="7" t="s">
        <v>223</v>
      </c>
      <c r="G197" s="4" t="n">
        <v>125</v>
      </c>
    </row>
    <row r="198" customFormat="false" ht="15" hidden="false" customHeight="false" outlineLevel="0" collapsed="false">
      <c r="A198" s="6"/>
      <c r="B198" s="7"/>
      <c r="C198" s="4" t="n">
        <v>34</v>
      </c>
      <c r="D198" s="6" t="s">
        <v>221</v>
      </c>
      <c r="E198" s="7" t="s">
        <v>347</v>
      </c>
      <c r="F198" s="7" t="s">
        <v>223</v>
      </c>
      <c r="G198" s="4" t="n">
        <v>125</v>
      </c>
    </row>
    <row r="199" customFormat="false" ht="15" hidden="false" customHeight="false" outlineLevel="0" collapsed="false">
      <c r="A199" s="6"/>
      <c r="B199" s="7"/>
      <c r="C199" s="4" t="n">
        <v>35</v>
      </c>
      <c r="D199" s="6" t="s">
        <v>227</v>
      </c>
      <c r="E199" s="7" t="s">
        <v>384</v>
      </c>
      <c r="F199" s="7" t="s">
        <v>229</v>
      </c>
      <c r="G199" s="4" t="n">
        <v>165</v>
      </c>
    </row>
    <row r="200" customFormat="false" ht="15" hidden="false" customHeight="false" outlineLevel="0" collapsed="false">
      <c r="A200" s="6"/>
      <c r="B200" s="7"/>
      <c r="C200" s="4" t="n">
        <v>36</v>
      </c>
      <c r="D200" s="6" t="s">
        <v>227</v>
      </c>
      <c r="E200" s="7" t="s">
        <v>385</v>
      </c>
      <c r="F200" s="7" t="s">
        <v>229</v>
      </c>
      <c r="G200" s="4" t="n">
        <v>165</v>
      </c>
    </row>
    <row r="201" customFormat="false" ht="15" hidden="false" customHeight="false" outlineLevel="0" collapsed="false">
      <c r="A201" s="6"/>
      <c r="B201" s="7"/>
      <c r="C201" s="4" t="n">
        <v>37</v>
      </c>
      <c r="D201" s="6" t="s">
        <v>227</v>
      </c>
      <c r="E201" s="7" t="s">
        <v>386</v>
      </c>
      <c r="F201" s="7" t="s">
        <v>229</v>
      </c>
      <c r="G201" s="4" t="n">
        <v>165</v>
      </c>
    </row>
    <row r="202" customFormat="false" ht="15" hidden="false" customHeight="false" outlineLevel="0" collapsed="false">
      <c r="A202" s="6"/>
      <c r="B202" s="7"/>
      <c r="C202" s="4" t="n">
        <v>38</v>
      </c>
      <c r="D202" s="6" t="s">
        <v>227</v>
      </c>
      <c r="E202" s="7" t="s">
        <v>387</v>
      </c>
      <c r="F202" s="7" t="s">
        <v>229</v>
      </c>
      <c r="G202" s="4" t="n">
        <v>165</v>
      </c>
    </row>
    <row r="203" customFormat="false" ht="23.85" hidden="false" customHeight="false" outlineLevel="0" collapsed="false">
      <c r="A203" s="6"/>
      <c r="B203" s="7"/>
      <c r="C203" s="4" t="n">
        <v>39</v>
      </c>
      <c r="D203" s="6" t="s">
        <v>233</v>
      </c>
      <c r="E203" s="7" t="s">
        <v>388</v>
      </c>
      <c r="F203" s="7" t="s">
        <v>235</v>
      </c>
      <c r="G203" s="4" t="n">
        <v>175</v>
      </c>
    </row>
    <row r="204" customFormat="false" ht="23.85" hidden="false" customHeight="false" outlineLevel="0" collapsed="false">
      <c r="A204" s="6"/>
      <c r="B204" s="7"/>
      <c r="C204" s="4" t="n">
        <v>40</v>
      </c>
      <c r="D204" s="6" t="s">
        <v>233</v>
      </c>
      <c r="E204" s="7" t="s">
        <v>276</v>
      </c>
      <c r="F204" s="7" t="s">
        <v>235</v>
      </c>
      <c r="G204" s="4" t="n">
        <v>175</v>
      </c>
    </row>
    <row r="205" customFormat="false" ht="23.85" hidden="false" customHeight="false" outlineLevel="0" collapsed="false">
      <c r="A205" s="10" t="n">
        <v>6</v>
      </c>
      <c r="B205" s="11" t="s">
        <v>26</v>
      </c>
      <c r="C205" s="8" t="n">
        <v>1</v>
      </c>
      <c r="D205" s="10" t="s">
        <v>86</v>
      </c>
      <c r="E205" s="11" t="s">
        <v>389</v>
      </c>
      <c r="F205" s="11" t="s">
        <v>183</v>
      </c>
      <c r="G205" s="8" t="n">
        <v>0</v>
      </c>
    </row>
    <row r="206" customFormat="false" ht="15" hidden="false" customHeight="false" outlineLevel="0" collapsed="false">
      <c r="A206" s="10"/>
      <c r="B206" s="11"/>
      <c r="C206" s="8" t="n">
        <v>2</v>
      </c>
      <c r="D206" s="10" t="s">
        <v>86</v>
      </c>
      <c r="E206" s="11" t="s">
        <v>238</v>
      </c>
      <c r="F206" s="11" t="s">
        <v>183</v>
      </c>
      <c r="G206" s="8" t="n">
        <v>0</v>
      </c>
    </row>
    <row r="207" customFormat="false" ht="15" hidden="false" customHeight="false" outlineLevel="0" collapsed="false">
      <c r="A207" s="10"/>
      <c r="B207" s="11"/>
      <c r="C207" s="8" t="n">
        <v>3</v>
      </c>
      <c r="D207" s="10" t="s">
        <v>86</v>
      </c>
      <c r="E207" s="11" t="s">
        <v>390</v>
      </c>
      <c r="F207" s="11" t="s">
        <v>183</v>
      </c>
      <c r="G207" s="8" t="n">
        <v>0</v>
      </c>
    </row>
    <row r="208" customFormat="false" ht="15" hidden="false" customHeight="false" outlineLevel="0" collapsed="false">
      <c r="A208" s="10"/>
      <c r="B208" s="11"/>
      <c r="C208" s="8" t="n">
        <v>4</v>
      </c>
      <c r="D208" s="10" t="s">
        <v>186</v>
      </c>
      <c r="E208" s="11" t="s">
        <v>391</v>
      </c>
      <c r="F208" s="11" t="s">
        <v>188</v>
      </c>
      <c r="G208" s="8" t="n">
        <v>10</v>
      </c>
    </row>
    <row r="209" customFormat="false" ht="15" hidden="false" customHeight="false" outlineLevel="0" collapsed="false">
      <c r="A209" s="10"/>
      <c r="B209" s="11"/>
      <c r="C209" s="8" t="n">
        <v>5</v>
      </c>
      <c r="D209" s="10" t="s">
        <v>186</v>
      </c>
      <c r="E209" s="11" t="s">
        <v>392</v>
      </c>
      <c r="F209" s="11" t="s">
        <v>188</v>
      </c>
      <c r="G209" s="8" t="n">
        <v>10</v>
      </c>
    </row>
    <row r="210" customFormat="false" ht="15" hidden="false" customHeight="false" outlineLevel="0" collapsed="false">
      <c r="A210" s="10"/>
      <c r="B210" s="11"/>
      <c r="C210" s="8" t="n">
        <v>6</v>
      </c>
      <c r="D210" s="10" t="s">
        <v>186</v>
      </c>
      <c r="E210" s="11" t="s">
        <v>393</v>
      </c>
      <c r="F210" s="11" t="s">
        <v>188</v>
      </c>
      <c r="G210" s="8" t="n">
        <v>10</v>
      </c>
    </row>
    <row r="211" customFormat="false" ht="23.85" hidden="false" customHeight="false" outlineLevel="0" collapsed="false">
      <c r="A211" s="10"/>
      <c r="B211" s="11"/>
      <c r="C211" s="8" t="n">
        <v>7</v>
      </c>
      <c r="D211" s="10" t="s">
        <v>191</v>
      </c>
      <c r="E211" s="11" t="s">
        <v>394</v>
      </c>
      <c r="F211" s="11" t="s">
        <v>193</v>
      </c>
      <c r="G211" s="8" t="n">
        <v>25</v>
      </c>
    </row>
    <row r="212" customFormat="false" ht="23.85" hidden="false" customHeight="false" outlineLevel="0" collapsed="false">
      <c r="A212" s="10"/>
      <c r="B212" s="11"/>
      <c r="C212" s="8" t="n">
        <v>8</v>
      </c>
      <c r="D212" s="10" t="s">
        <v>191</v>
      </c>
      <c r="E212" s="11" t="s">
        <v>395</v>
      </c>
      <c r="F212" s="11" t="s">
        <v>193</v>
      </c>
      <c r="G212" s="8" t="n">
        <v>25</v>
      </c>
    </row>
    <row r="213" customFormat="false" ht="23.85" hidden="false" customHeight="false" outlineLevel="0" collapsed="false">
      <c r="A213" s="10"/>
      <c r="B213" s="11"/>
      <c r="C213" s="8" t="n">
        <v>9</v>
      </c>
      <c r="D213" s="10" t="s">
        <v>191</v>
      </c>
      <c r="E213" s="11" t="s">
        <v>396</v>
      </c>
      <c r="F213" s="11" t="s">
        <v>193</v>
      </c>
      <c r="G213" s="8" t="n">
        <v>25</v>
      </c>
    </row>
    <row r="214" customFormat="false" ht="23.85" hidden="false" customHeight="false" outlineLevel="0" collapsed="false">
      <c r="A214" s="10"/>
      <c r="B214" s="11"/>
      <c r="C214" s="8" t="n">
        <v>10</v>
      </c>
      <c r="D214" s="10" t="s">
        <v>191</v>
      </c>
      <c r="E214" s="11" t="s">
        <v>397</v>
      </c>
      <c r="F214" s="11" t="s">
        <v>193</v>
      </c>
      <c r="G214" s="8" t="n">
        <v>25</v>
      </c>
    </row>
    <row r="215" customFormat="false" ht="23.85" hidden="false" customHeight="false" outlineLevel="0" collapsed="false">
      <c r="A215" s="10"/>
      <c r="B215" s="11"/>
      <c r="C215" s="8" t="n">
        <v>11</v>
      </c>
      <c r="D215" s="10" t="s">
        <v>191</v>
      </c>
      <c r="E215" s="11" t="s">
        <v>398</v>
      </c>
      <c r="F215" s="11" t="s">
        <v>193</v>
      </c>
      <c r="G215" s="8" t="n">
        <v>25</v>
      </c>
    </row>
    <row r="216" customFormat="false" ht="23.85" hidden="false" customHeight="false" outlineLevel="0" collapsed="false">
      <c r="A216" s="10"/>
      <c r="B216" s="11"/>
      <c r="C216" s="8" t="n">
        <v>12</v>
      </c>
      <c r="D216" s="10" t="s">
        <v>191</v>
      </c>
      <c r="E216" s="11" t="s">
        <v>399</v>
      </c>
      <c r="F216" s="11" t="s">
        <v>193</v>
      </c>
      <c r="G216" s="8" t="n">
        <v>25</v>
      </c>
    </row>
    <row r="217" customFormat="false" ht="23.85" hidden="false" customHeight="false" outlineLevel="0" collapsed="false">
      <c r="A217" s="10"/>
      <c r="B217" s="11"/>
      <c r="C217" s="8" t="n">
        <v>13</v>
      </c>
      <c r="D217" s="10" t="s">
        <v>191</v>
      </c>
      <c r="E217" s="11" t="s">
        <v>400</v>
      </c>
      <c r="F217" s="11" t="s">
        <v>193</v>
      </c>
      <c r="G217" s="8" t="n">
        <v>25</v>
      </c>
    </row>
    <row r="218" customFormat="false" ht="23.85" hidden="false" customHeight="false" outlineLevel="0" collapsed="false">
      <c r="A218" s="10"/>
      <c r="B218" s="11"/>
      <c r="C218" s="8" t="n">
        <v>14</v>
      </c>
      <c r="D218" s="10" t="s">
        <v>191</v>
      </c>
      <c r="E218" s="11" t="s">
        <v>401</v>
      </c>
      <c r="F218" s="11" t="s">
        <v>193</v>
      </c>
      <c r="G218" s="8" t="n">
        <v>25</v>
      </c>
    </row>
    <row r="219" customFormat="false" ht="15" hidden="false" customHeight="false" outlineLevel="0" collapsed="false">
      <c r="A219" s="10"/>
      <c r="B219" s="11"/>
      <c r="C219" s="8" t="n">
        <v>15</v>
      </c>
      <c r="D219" s="10" t="s">
        <v>201</v>
      </c>
      <c r="E219" s="11" t="s">
        <v>402</v>
      </c>
      <c r="F219" s="11" t="s">
        <v>203</v>
      </c>
      <c r="G219" s="8" t="n">
        <v>70</v>
      </c>
    </row>
    <row r="220" customFormat="false" ht="15" hidden="false" customHeight="false" outlineLevel="0" collapsed="false">
      <c r="A220" s="10"/>
      <c r="B220" s="11"/>
      <c r="C220" s="8" t="n">
        <v>16</v>
      </c>
      <c r="D220" s="10" t="s">
        <v>201</v>
      </c>
      <c r="E220" s="11" t="s">
        <v>403</v>
      </c>
      <c r="F220" s="11" t="s">
        <v>203</v>
      </c>
      <c r="G220" s="8" t="n">
        <v>70</v>
      </c>
    </row>
    <row r="221" customFormat="false" ht="15" hidden="false" customHeight="false" outlineLevel="0" collapsed="false">
      <c r="A221" s="10"/>
      <c r="B221" s="11"/>
      <c r="C221" s="8" t="n">
        <v>17</v>
      </c>
      <c r="D221" s="10" t="s">
        <v>201</v>
      </c>
      <c r="E221" s="11" t="s">
        <v>404</v>
      </c>
      <c r="F221" s="11" t="s">
        <v>203</v>
      </c>
      <c r="G221" s="8" t="n">
        <v>70</v>
      </c>
    </row>
    <row r="222" customFormat="false" ht="15" hidden="false" customHeight="false" outlineLevel="0" collapsed="false">
      <c r="A222" s="10"/>
      <c r="B222" s="11"/>
      <c r="C222" s="8" t="n">
        <v>18</v>
      </c>
      <c r="D222" s="10" t="s">
        <v>201</v>
      </c>
      <c r="E222" s="11" t="s">
        <v>405</v>
      </c>
      <c r="F222" s="11" t="s">
        <v>203</v>
      </c>
      <c r="G222" s="8" t="n">
        <v>70</v>
      </c>
    </row>
    <row r="223" customFormat="false" ht="15" hidden="false" customHeight="false" outlineLevel="0" collapsed="false">
      <c r="A223" s="10"/>
      <c r="B223" s="11"/>
      <c r="C223" s="8" t="n">
        <v>19</v>
      </c>
      <c r="D223" s="10" t="s">
        <v>201</v>
      </c>
      <c r="E223" s="11" t="s">
        <v>406</v>
      </c>
      <c r="F223" s="11" t="s">
        <v>203</v>
      </c>
      <c r="G223" s="8" t="n">
        <v>70</v>
      </c>
    </row>
    <row r="224" customFormat="false" ht="15" hidden="false" customHeight="false" outlineLevel="0" collapsed="false">
      <c r="A224" s="10"/>
      <c r="B224" s="11"/>
      <c r="C224" s="8" t="n">
        <v>20</v>
      </c>
      <c r="D224" s="10" t="s">
        <v>201</v>
      </c>
      <c r="E224" s="11" t="s">
        <v>407</v>
      </c>
      <c r="F224" s="11" t="s">
        <v>203</v>
      </c>
      <c r="G224" s="8" t="n">
        <v>70</v>
      </c>
    </row>
    <row r="225" customFormat="false" ht="15" hidden="false" customHeight="false" outlineLevel="0" collapsed="false">
      <c r="A225" s="10"/>
      <c r="B225" s="11"/>
      <c r="C225" s="8" t="n">
        <v>21</v>
      </c>
      <c r="D225" s="10" t="s">
        <v>201</v>
      </c>
      <c r="E225" s="11" t="s">
        <v>408</v>
      </c>
      <c r="F225" s="11" t="s">
        <v>203</v>
      </c>
      <c r="G225" s="8" t="n">
        <v>70</v>
      </c>
    </row>
    <row r="226" customFormat="false" ht="15" hidden="false" customHeight="false" outlineLevel="0" collapsed="false">
      <c r="A226" s="10"/>
      <c r="B226" s="11"/>
      <c r="C226" s="8" t="n">
        <v>22</v>
      </c>
      <c r="D226" s="10" t="s">
        <v>201</v>
      </c>
      <c r="E226" s="11" t="s">
        <v>409</v>
      </c>
      <c r="F226" s="11" t="s">
        <v>203</v>
      </c>
      <c r="G226" s="8" t="n">
        <v>70</v>
      </c>
    </row>
    <row r="227" customFormat="false" ht="15" hidden="false" customHeight="false" outlineLevel="0" collapsed="false">
      <c r="A227" s="10"/>
      <c r="B227" s="11"/>
      <c r="C227" s="8" t="n">
        <v>23</v>
      </c>
      <c r="D227" s="10" t="s">
        <v>211</v>
      </c>
      <c r="E227" s="11" t="s">
        <v>410</v>
      </c>
      <c r="F227" s="11" t="s">
        <v>213</v>
      </c>
      <c r="G227" s="8" t="n">
        <v>100</v>
      </c>
    </row>
    <row r="228" customFormat="false" ht="15" hidden="false" customHeight="false" outlineLevel="0" collapsed="false">
      <c r="A228" s="10"/>
      <c r="B228" s="11"/>
      <c r="C228" s="8" t="n">
        <v>24</v>
      </c>
      <c r="D228" s="10" t="s">
        <v>211</v>
      </c>
      <c r="E228" s="11" t="s">
        <v>411</v>
      </c>
      <c r="F228" s="11" t="s">
        <v>213</v>
      </c>
      <c r="G228" s="8" t="n">
        <v>100</v>
      </c>
    </row>
    <row r="229" customFormat="false" ht="15" hidden="false" customHeight="false" outlineLevel="0" collapsed="false">
      <c r="A229" s="10"/>
      <c r="B229" s="11"/>
      <c r="C229" s="8" t="n">
        <v>25</v>
      </c>
      <c r="D229" s="10" t="s">
        <v>211</v>
      </c>
      <c r="E229" s="11" t="s">
        <v>412</v>
      </c>
      <c r="F229" s="11" t="s">
        <v>213</v>
      </c>
      <c r="G229" s="8" t="n">
        <v>100</v>
      </c>
    </row>
    <row r="230" customFormat="false" ht="15" hidden="false" customHeight="false" outlineLevel="0" collapsed="false">
      <c r="A230" s="10"/>
      <c r="B230" s="11"/>
      <c r="C230" s="8" t="n">
        <v>26</v>
      </c>
      <c r="D230" s="10" t="s">
        <v>211</v>
      </c>
      <c r="E230" s="11" t="s">
        <v>413</v>
      </c>
      <c r="F230" s="11" t="s">
        <v>213</v>
      </c>
      <c r="G230" s="8" t="n">
        <v>100</v>
      </c>
    </row>
    <row r="231" customFormat="false" ht="15" hidden="false" customHeight="false" outlineLevel="0" collapsed="false">
      <c r="A231" s="10"/>
      <c r="B231" s="11"/>
      <c r="C231" s="8" t="n">
        <v>27</v>
      </c>
      <c r="D231" s="10" t="s">
        <v>211</v>
      </c>
      <c r="E231" s="11" t="s">
        <v>414</v>
      </c>
      <c r="F231" s="11" t="s">
        <v>213</v>
      </c>
      <c r="G231" s="8" t="n">
        <v>100</v>
      </c>
    </row>
    <row r="232" customFormat="false" ht="15" hidden="false" customHeight="false" outlineLevel="0" collapsed="false">
      <c r="A232" s="10"/>
      <c r="B232" s="11"/>
      <c r="C232" s="8" t="n">
        <v>28</v>
      </c>
      <c r="D232" s="10" t="s">
        <v>211</v>
      </c>
      <c r="E232" s="11" t="s">
        <v>415</v>
      </c>
      <c r="F232" s="11" t="s">
        <v>213</v>
      </c>
      <c r="G232" s="8" t="n">
        <v>100</v>
      </c>
    </row>
    <row r="233" customFormat="false" ht="15" hidden="false" customHeight="false" outlineLevel="0" collapsed="false">
      <c r="A233" s="10"/>
      <c r="B233" s="11"/>
      <c r="C233" s="8" t="n">
        <v>29</v>
      </c>
      <c r="D233" s="10" t="s">
        <v>211</v>
      </c>
      <c r="E233" s="11" t="s">
        <v>416</v>
      </c>
      <c r="F233" s="11" t="s">
        <v>213</v>
      </c>
      <c r="G233" s="8" t="n">
        <v>100</v>
      </c>
    </row>
    <row r="234" customFormat="false" ht="15" hidden="false" customHeight="false" outlineLevel="0" collapsed="false">
      <c r="A234" s="10"/>
      <c r="B234" s="11"/>
      <c r="C234" s="8" t="n">
        <v>30</v>
      </c>
      <c r="D234" s="10" t="s">
        <v>211</v>
      </c>
      <c r="E234" s="11" t="s">
        <v>417</v>
      </c>
      <c r="F234" s="11" t="s">
        <v>213</v>
      </c>
      <c r="G234" s="8" t="n">
        <v>100</v>
      </c>
    </row>
    <row r="235" customFormat="false" ht="15" hidden="false" customHeight="false" outlineLevel="0" collapsed="false">
      <c r="A235" s="10"/>
      <c r="B235" s="11"/>
      <c r="C235" s="8" t="n">
        <v>31</v>
      </c>
      <c r="D235" s="10" t="s">
        <v>221</v>
      </c>
      <c r="E235" s="11" t="s">
        <v>418</v>
      </c>
      <c r="F235" s="11" t="s">
        <v>223</v>
      </c>
      <c r="G235" s="8" t="n">
        <v>125</v>
      </c>
    </row>
    <row r="236" customFormat="false" ht="15" hidden="false" customHeight="false" outlineLevel="0" collapsed="false">
      <c r="A236" s="10"/>
      <c r="B236" s="11"/>
      <c r="C236" s="8" t="n">
        <v>32</v>
      </c>
      <c r="D236" s="10" t="s">
        <v>221</v>
      </c>
      <c r="E236" s="11" t="s">
        <v>419</v>
      </c>
      <c r="F236" s="11" t="s">
        <v>223</v>
      </c>
      <c r="G236" s="8" t="n">
        <v>125</v>
      </c>
    </row>
    <row r="237" customFormat="false" ht="15" hidden="false" customHeight="false" outlineLevel="0" collapsed="false">
      <c r="A237" s="10"/>
      <c r="B237" s="11"/>
      <c r="C237" s="8" t="n">
        <v>33</v>
      </c>
      <c r="D237" s="10" t="s">
        <v>221</v>
      </c>
      <c r="E237" s="11" t="s">
        <v>420</v>
      </c>
      <c r="F237" s="11" t="s">
        <v>223</v>
      </c>
      <c r="G237" s="8" t="n">
        <v>125</v>
      </c>
    </row>
    <row r="238" customFormat="false" ht="15" hidden="false" customHeight="false" outlineLevel="0" collapsed="false">
      <c r="A238" s="10"/>
      <c r="B238" s="11"/>
      <c r="C238" s="8" t="n">
        <v>34</v>
      </c>
      <c r="D238" s="10" t="s">
        <v>221</v>
      </c>
      <c r="E238" s="11" t="s">
        <v>421</v>
      </c>
      <c r="F238" s="11" t="s">
        <v>223</v>
      </c>
      <c r="G238" s="8" t="n">
        <v>125</v>
      </c>
    </row>
    <row r="239" customFormat="false" ht="15" hidden="false" customHeight="false" outlineLevel="0" collapsed="false">
      <c r="A239" s="10"/>
      <c r="B239" s="11"/>
      <c r="C239" s="8" t="n">
        <v>35</v>
      </c>
      <c r="D239" s="10" t="s">
        <v>227</v>
      </c>
      <c r="E239" s="11" t="s">
        <v>422</v>
      </c>
      <c r="F239" s="11" t="s">
        <v>229</v>
      </c>
      <c r="G239" s="8" t="n">
        <v>165</v>
      </c>
    </row>
    <row r="240" customFormat="false" ht="15" hidden="false" customHeight="false" outlineLevel="0" collapsed="false">
      <c r="A240" s="10"/>
      <c r="B240" s="11"/>
      <c r="C240" s="8" t="n">
        <v>36</v>
      </c>
      <c r="D240" s="10" t="s">
        <v>227</v>
      </c>
      <c r="E240" s="11" t="s">
        <v>423</v>
      </c>
      <c r="F240" s="11" t="s">
        <v>229</v>
      </c>
      <c r="G240" s="8" t="n">
        <v>165</v>
      </c>
    </row>
    <row r="241" customFormat="false" ht="15" hidden="false" customHeight="false" outlineLevel="0" collapsed="false">
      <c r="A241" s="10"/>
      <c r="B241" s="11"/>
      <c r="C241" s="8" t="n">
        <v>37</v>
      </c>
      <c r="D241" s="10" t="s">
        <v>227</v>
      </c>
      <c r="E241" s="11" t="s">
        <v>424</v>
      </c>
      <c r="F241" s="11" t="s">
        <v>229</v>
      </c>
      <c r="G241" s="8" t="n">
        <v>165</v>
      </c>
    </row>
    <row r="242" customFormat="false" ht="15" hidden="false" customHeight="false" outlineLevel="0" collapsed="false">
      <c r="A242" s="10"/>
      <c r="B242" s="11"/>
      <c r="C242" s="8" t="n">
        <v>38</v>
      </c>
      <c r="D242" s="10" t="s">
        <v>227</v>
      </c>
      <c r="E242" s="11" t="s">
        <v>425</v>
      </c>
      <c r="F242" s="11" t="s">
        <v>229</v>
      </c>
      <c r="G242" s="8" t="n">
        <v>165</v>
      </c>
    </row>
    <row r="243" customFormat="false" ht="23.85" hidden="false" customHeight="false" outlineLevel="0" collapsed="false">
      <c r="A243" s="10"/>
      <c r="B243" s="11"/>
      <c r="C243" s="8" t="n">
        <v>39</v>
      </c>
      <c r="D243" s="10" t="s">
        <v>233</v>
      </c>
      <c r="E243" s="11" t="s">
        <v>426</v>
      </c>
      <c r="F243" s="11" t="s">
        <v>235</v>
      </c>
      <c r="G243" s="8" t="n">
        <v>175</v>
      </c>
    </row>
    <row r="244" customFormat="false" ht="23.85" hidden="false" customHeight="false" outlineLevel="0" collapsed="false">
      <c r="A244" s="10"/>
      <c r="B244" s="11"/>
      <c r="C244" s="8" t="n">
        <v>40</v>
      </c>
      <c r="D244" s="10" t="s">
        <v>233</v>
      </c>
      <c r="E244" s="11" t="s">
        <v>276</v>
      </c>
      <c r="F244" s="11" t="s">
        <v>235</v>
      </c>
      <c r="G244" s="8" t="n">
        <v>175</v>
      </c>
    </row>
    <row r="245" customFormat="false" ht="23.85" hidden="false" customHeight="false" outlineLevel="0" collapsed="false">
      <c r="A245" s="6" t="n">
        <v>7</v>
      </c>
      <c r="B245" s="7" t="s">
        <v>28</v>
      </c>
      <c r="C245" s="4" t="n">
        <v>1</v>
      </c>
      <c r="D245" s="6" t="s">
        <v>86</v>
      </c>
      <c r="E245" s="7" t="s">
        <v>427</v>
      </c>
      <c r="F245" s="7" t="s">
        <v>183</v>
      </c>
      <c r="G245" s="4" t="n">
        <v>0</v>
      </c>
    </row>
    <row r="246" customFormat="false" ht="15" hidden="false" customHeight="false" outlineLevel="0" collapsed="false">
      <c r="A246" s="6"/>
      <c r="B246" s="7"/>
      <c r="C246" s="4" t="n">
        <v>2</v>
      </c>
      <c r="D246" s="6" t="s">
        <v>86</v>
      </c>
      <c r="E246" s="7" t="s">
        <v>238</v>
      </c>
      <c r="F246" s="7" t="s">
        <v>183</v>
      </c>
      <c r="G246" s="4" t="n">
        <v>0</v>
      </c>
    </row>
    <row r="247" customFormat="false" ht="15" hidden="false" customHeight="false" outlineLevel="0" collapsed="false">
      <c r="A247" s="6"/>
      <c r="B247" s="7"/>
      <c r="C247" s="4" t="n">
        <v>3</v>
      </c>
      <c r="D247" s="6" t="s">
        <v>86</v>
      </c>
      <c r="E247" s="7" t="s">
        <v>428</v>
      </c>
      <c r="F247" s="7" t="s">
        <v>183</v>
      </c>
      <c r="G247" s="4" t="n">
        <v>0</v>
      </c>
    </row>
    <row r="248" customFormat="false" ht="15" hidden="false" customHeight="false" outlineLevel="0" collapsed="false">
      <c r="A248" s="6"/>
      <c r="B248" s="7"/>
      <c r="C248" s="4" t="n">
        <v>4</v>
      </c>
      <c r="D248" s="6" t="s">
        <v>186</v>
      </c>
      <c r="E248" s="7" t="s">
        <v>429</v>
      </c>
      <c r="F248" s="7" t="s">
        <v>188</v>
      </c>
      <c r="G248" s="4" t="n">
        <v>10</v>
      </c>
    </row>
    <row r="249" customFormat="false" ht="15" hidden="false" customHeight="false" outlineLevel="0" collapsed="false">
      <c r="A249" s="6"/>
      <c r="B249" s="7"/>
      <c r="C249" s="4" t="n">
        <v>5</v>
      </c>
      <c r="D249" s="6" t="s">
        <v>186</v>
      </c>
      <c r="E249" s="7" t="s">
        <v>430</v>
      </c>
      <c r="F249" s="7" t="s">
        <v>188</v>
      </c>
      <c r="G249" s="4" t="n">
        <v>10</v>
      </c>
    </row>
    <row r="250" customFormat="false" ht="15" hidden="false" customHeight="false" outlineLevel="0" collapsed="false">
      <c r="A250" s="6"/>
      <c r="B250" s="7"/>
      <c r="C250" s="4" t="n">
        <v>6</v>
      </c>
      <c r="D250" s="6" t="s">
        <v>186</v>
      </c>
      <c r="E250" s="7" t="s">
        <v>431</v>
      </c>
      <c r="F250" s="7" t="s">
        <v>188</v>
      </c>
      <c r="G250" s="4" t="n">
        <v>10</v>
      </c>
    </row>
    <row r="251" customFormat="false" ht="23.85" hidden="false" customHeight="false" outlineLevel="0" collapsed="false">
      <c r="A251" s="6"/>
      <c r="B251" s="7"/>
      <c r="C251" s="4" t="n">
        <v>7</v>
      </c>
      <c r="D251" s="6" t="s">
        <v>191</v>
      </c>
      <c r="E251" s="7" t="s">
        <v>432</v>
      </c>
      <c r="F251" s="7" t="s">
        <v>193</v>
      </c>
      <c r="G251" s="4" t="n">
        <v>25</v>
      </c>
    </row>
    <row r="252" customFormat="false" ht="23.85" hidden="false" customHeight="false" outlineLevel="0" collapsed="false">
      <c r="A252" s="6"/>
      <c r="B252" s="7"/>
      <c r="C252" s="4" t="n">
        <v>8</v>
      </c>
      <c r="D252" s="6" t="s">
        <v>191</v>
      </c>
      <c r="E252" s="7" t="s">
        <v>433</v>
      </c>
      <c r="F252" s="7" t="s">
        <v>193</v>
      </c>
      <c r="G252" s="4" t="n">
        <v>25</v>
      </c>
    </row>
    <row r="253" customFormat="false" ht="23.85" hidden="false" customHeight="false" outlineLevel="0" collapsed="false">
      <c r="A253" s="6"/>
      <c r="B253" s="7"/>
      <c r="C253" s="4" t="n">
        <v>9</v>
      </c>
      <c r="D253" s="6" t="s">
        <v>191</v>
      </c>
      <c r="E253" s="7" t="s">
        <v>434</v>
      </c>
      <c r="F253" s="7" t="s">
        <v>193</v>
      </c>
      <c r="G253" s="4" t="n">
        <v>25</v>
      </c>
    </row>
    <row r="254" customFormat="false" ht="23.85" hidden="false" customHeight="false" outlineLevel="0" collapsed="false">
      <c r="A254" s="6"/>
      <c r="B254" s="7"/>
      <c r="C254" s="4" t="n">
        <v>10</v>
      </c>
      <c r="D254" s="6" t="s">
        <v>191</v>
      </c>
      <c r="E254" s="7" t="s">
        <v>435</v>
      </c>
      <c r="F254" s="7" t="s">
        <v>193</v>
      </c>
      <c r="G254" s="4" t="n">
        <v>25</v>
      </c>
    </row>
    <row r="255" customFormat="false" ht="23.85" hidden="false" customHeight="false" outlineLevel="0" collapsed="false">
      <c r="A255" s="6"/>
      <c r="B255" s="7"/>
      <c r="C255" s="4" t="n">
        <v>11</v>
      </c>
      <c r="D255" s="6" t="s">
        <v>191</v>
      </c>
      <c r="E255" s="7" t="s">
        <v>436</v>
      </c>
      <c r="F255" s="7" t="s">
        <v>193</v>
      </c>
      <c r="G255" s="4" t="n">
        <v>25</v>
      </c>
    </row>
    <row r="256" customFormat="false" ht="23.85" hidden="false" customHeight="false" outlineLevel="0" collapsed="false">
      <c r="A256" s="6"/>
      <c r="B256" s="7"/>
      <c r="C256" s="4" t="n">
        <v>12</v>
      </c>
      <c r="D256" s="6" t="s">
        <v>191</v>
      </c>
      <c r="E256" s="7" t="s">
        <v>437</v>
      </c>
      <c r="F256" s="7" t="s">
        <v>193</v>
      </c>
      <c r="G256" s="4" t="n">
        <v>25</v>
      </c>
    </row>
    <row r="257" customFormat="false" ht="23.85" hidden="false" customHeight="false" outlineLevel="0" collapsed="false">
      <c r="A257" s="6"/>
      <c r="B257" s="7"/>
      <c r="C257" s="4" t="n">
        <v>13</v>
      </c>
      <c r="D257" s="6" t="s">
        <v>191</v>
      </c>
      <c r="E257" s="7" t="s">
        <v>438</v>
      </c>
      <c r="F257" s="7" t="s">
        <v>193</v>
      </c>
      <c r="G257" s="4" t="n">
        <v>25</v>
      </c>
    </row>
    <row r="258" customFormat="false" ht="23.85" hidden="false" customHeight="false" outlineLevel="0" collapsed="false">
      <c r="A258" s="6"/>
      <c r="B258" s="7"/>
      <c r="C258" s="4" t="n">
        <v>14</v>
      </c>
      <c r="D258" s="6" t="s">
        <v>191</v>
      </c>
      <c r="E258" s="7" t="s">
        <v>439</v>
      </c>
      <c r="F258" s="7" t="s">
        <v>193</v>
      </c>
      <c r="G258" s="4" t="n">
        <v>25</v>
      </c>
    </row>
    <row r="259" customFormat="false" ht="15" hidden="false" customHeight="false" outlineLevel="0" collapsed="false">
      <c r="A259" s="6"/>
      <c r="B259" s="7"/>
      <c r="C259" s="4" t="n">
        <v>15</v>
      </c>
      <c r="D259" s="6" t="s">
        <v>201</v>
      </c>
      <c r="E259" s="7" t="s">
        <v>440</v>
      </c>
      <c r="F259" s="7" t="s">
        <v>203</v>
      </c>
      <c r="G259" s="4" t="n">
        <v>70</v>
      </c>
    </row>
    <row r="260" customFormat="false" ht="15" hidden="false" customHeight="false" outlineLevel="0" collapsed="false">
      <c r="A260" s="6"/>
      <c r="B260" s="7"/>
      <c r="C260" s="4" t="n">
        <v>16</v>
      </c>
      <c r="D260" s="6" t="s">
        <v>201</v>
      </c>
      <c r="E260" s="7" t="s">
        <v>441</v>
      </c>
      <c r="F260" s="7" t="s">
        <v>203</v>
      </c>
      <c r="G260" s="4" t="n">
        <v>70</v>
      </c>
    </row>
    <row r="261" customFormat="false" ht="15" hidden="false" customHeight="false" outlineLevel="0" collapsed="false">
      <c r="A261" s="6"/>
      <c r="B261" s="7"/>
      <c r="C261" s="4" t="n">
        <v>17</v>
      </c>
      <c r="D261" s="6" t="s">
        <v>201</v>
      </c>
      <c r="E261" s="7" t="s">
        <v>442</v>
      </c>
      <c r="F261" s="7" t="s">
        <v>203</v>
      </c>
      <c r="G261" s="4" t="n">
        <v>70</v>
      </c>
    </row>
    <row r="262" customFormat="false" ht="15" hidden="false" customHeight="false" outlineLevel="0" collapsed="false">
      <c r="A262" s="6"/>
      <c r="B262" s="7"/>
      <c r="C262" s="4" t="n">
        <v>18</v>
      </c>
      <c r="D262" s="6" t="s">
        <v>201</v>
      </c>
      <c r="E262" s="7" t="s">
        <v>443</v>
      </c>
      <c r="F262" s="7" t="s">
        <v>203</v>
      </c>
      <c r="G262" s="4" t="n">
        <v>70</v>
      </c>
    </row>
    <row r="263" customFormat="false" ht="15" hidden="false" customHeight="false" outlineLevel="0" collapsed="false">
      <c r="A263" s="6"/>
      <c r="B263" s="7"/>
      <c r="C263" s="4" t="n">
        <v>19</v>
      </c>
      <c r="D263" s="6" t="s">
        <v>201</v>
      </c>
      <c r="E263" s="7" t="s">
        <v>444</v>
      </c>
      <c r="F263" s="7" t="s">
        <v>203</v>
      </c>
      <c r="G263" s="4" t="n">
        <v>70</v>
      </c>
    </row>
    <row r="264" customFormat="false" ht="15" hidden="false" customHeight="false" outlineLevel="0" collapsed="false">
      <c r="A264" s="6"/>
      <c r="B264" s="7"/>
      <c r="C264" s="4" t="n">
        <v>20</v>
      </c>
      <c r="D264" s="6" t="s">
        <v>201</v>
      </c>
      <c r="E264" s="7" t="s">
        <v>445</v>
      </c>
      <c r="F264" s="7" t="s">
        <v>203</v>
      </c>
      <c r="G264" s="4" t="n">
        <v>70</v>
      </c>
    </row>
    <row r="265" customFormat="false" ht="15" hidden="false" customHeight="false" outlineLevel="0" collapsed="false">
      <c r="A265" s="6"/>
      <c r="B265" s="7"/>
      <c r="C265" s="4" t="n">
        <v>21</v>
      </c>
      <c r="D265" s="6" t="s">
        <v>201</v>
      </c>
      <c r="E265" s="7" t="s">
        <v>446</v>
      </c>
      <c r="F265" s="7" t="s">
        <v>203</v>
      </c>
      <c r="G265" s="4" t="n">
        <v>70</v>
      </c>
    </row>
    <row r="266" customFormat="false" ht="15" hidden="false" customHeight="false" outlineLevel="0" collapsed="false">
      <c r="A266" s="6"/>
      <c r="B266" s="7"/>
      <c r="C266" s="4" t="n">
        <v>22</v>
      </c>
      <c r="D266" s="6" t="s">
        <v>201</v>
      </c>
      <c r="E266" s="7" t="s">
        <v>447</v>
      </c>
      <c r="F266" s="7" t="s">
        <v>203</v>
      </c>
      <c r="G266" s="4" t="n">
        <v>70</v>
      </c>
    </row>
    <row r="267" customFormat="false" ht="15" hidden="false" customHeight="false" outlineLevel="0" collapsed="false">
      <c r="A267" s="6"/>
      <c r="B267" s="7"/>
      <c r="C267" s="4" t="n">
        <v>23</v>
      </c>
      <c r="D267" s="6" t="s">
        <v>211</v>
      </c>
      <c r="E267" s="7" t="s">
        <v>448</v>
      </c>
      <c r="F267" s="7" t="s">
        <v>213</v>
      </c>
      <c r="G267" s="4" t="n">
        <v>100</v>
      </c>
    </row>
    <row r="268" customFormat="false" ht="15" hidden="false" customHeight="false" outlineLevel="0" collapsed="false">
      <c r="A268" s="6"/>
      <c r="B268" s="7"/>
      <c r="C268" s="4" t="n">
        <v>24</v>
      </c>
      <c r="D268" s="6" t="s">
        <v>211</v>
      </c>
      <c r="E268" s="7" t="s">
        <v>449</v>
      </c>
      <c r="F268" s="7" t="s">
        <v>213</v>
      </c>
      <c r="G268" s="4" t="n">
        <v>100</v>
      </c>
    </row>
    <row r="269" customFormat="false" ht="15" hidden="false" customHeight="false" outlineLevel="0" collapsed="false">
      <c r="A269" s="6"/>
      <c r="B269" s="7"/>
      <c r="C269" s="4" t="n">
        <v>25</v>
      </c>
      <c r="D269" s="6" t="s">
        <v>211</v>
      </c>
      <c r="E269" s="7" t="s">
        <v>450</v>
      </c>
      <c r="F269" s="7" t="s">
        <v>213</v>
      </c>
      <c r="G269" s="4" t="n">
        <v>100</v>
      </c>
    </row>
    <row r="270" customFormat="false" ht="15" hidden="false" customHeight="false" outlineLevel="0" collapsed="false">
      <c r="A270" s="6"/>
      <c r="B270" s="7"/>
      <c r="C270" s="4" t="n">
        <v>26</v>
      </c>
      <c r="D270" s="6" t="s">
        <v>211</v>
      </c>
      <c r="E270" s="7" t="s">
        <v>451</v>
      </c>
      <c r="F270" s="7" t="s">
        <v>213</v>
      </c>
      <c r="G270" s="4" t="n">
        <v>100</v>
      </c>
    </row>
    <row r="271" customFormat="false" ht="23.85" hidden="false" customHeight="false" outlineLevel="0" collapsed="false">
      <c r="A271" s="6"/>
      <c r="B271" s="7"/>
      <c r="C271" s="4" t="n">
        <v>27</v>
      </c>
      <c r="D271" s="6" t="s">
        <v>211</v>
      </c>
      <c r="E271" s="7" t="s">
        <v>452</v>
      </c>
      <c r="F271" s="7" t="s">
        <v>213</v>
      </c>
      <c r="G271" s="4" t="n">
        <v>100</v>
      </c>
    </row>
    <row r="272" customFormat="false" ht="15" hidden="false" customHeight="false" outlineLevel="0" collapsed="false">
      <c r="A272" s="6"/>
      <c r="B272" s="7"/>
      <c r="C272" s="4" t="n">
        <v>28</v>
      </c>
      <c r="D272" s="6" t="s">
        <v>211</v>
      </c>
      <c r="E272" s="7" t="s">
        <v>453</v>
      </c>
      <c r="F272" s="7" t="s">
        <v>213</v>
      </c>
      <c r="G272" s="4" t="n">
        <v>100</v>
      </c>
    </row>
    <row r="273" customFormat="false" ht="15" hidden="false" customHeight="false" outlineLevel="0" collapsed="false">
      <c r="A273" s="6"/>
      <c r="B273" s="7"/>
      <c r="C273" s="4" t="n">
        <v>29</v>
      </c>
      <c r="D273" s="6" t="s">
        <v>211</v>
      </c>
      <c r="E273" s="7" t="s">
        <v>454</v>
      </c>
      <c r="F273" s="7" t="s">
        <v>213</v>
      </c>
      <c r="G273" s="4" t="n">
        <v>100</v>
      </c>
    </row>
    <row r="274" customFormat="false" ht="15" hidden="false" customHeight="false" outlineLevel="0" collapsed="false">
      <c r="A274" s="6"/>
      <c r="B274" s="7"/>
      <c r="C274" s="4" t="n">
        <v>30</v>
      </c>
      <c r="D274" s="6" t="s">
        <v>211</v>
      </c>
      <c r="E274" s="7" t="s">
        <v>455</v>
      </c>
      <c r="F274" s="7" t="s">
        <v>213</v>
      </c>
      <c r="G274" s="4" t="n">
        <v>100</v>
      </c>
    </row>
    <row r="275" customFormat="false" ht="15" hidden="false" customHeight="false" outlineLevel="0" collapsed="false">
      <c r="A275" s="6"/>
      <c r="B275" s="7"/>
      <c r="C275" s="4" t="n">
        <v>31</v>
      </c>
      <c r="D275" s="6" t="s">
        <v>221</v>
      </c>
      <c r="E275" s="7" t="s">
        <v>456</v>
      </c>
      <c r="F275" s="7" t="s">
        <v>223</v>
      </c>
      <c r="G275" s="4" t="n">
        <v>125</v>
      </c>
    </row>
    <row r="276" customFormat="false" ht="15" hidden="false" customHeight="false" outlineLevel="0" collapsed="false">
      <c r="A276" s="6"/>
      <c r="B276" s="7"/>
      <c r="C276" s="4" t="n">
        <v>32</v>
      </c>
      <c r="D276" s="6" t="s">
        <v>221</v>
      </c>
      <c r="E276" s="7" t="s">
        <v>457</v>
      </c>
      <c r="F276" s="7" t="s">
        <v>223</v>
      </c>
      <c r="G276" s="4" t="n">
        <v>125</v>
      </c>
    </row>
    <row r="277" customFormat="false" ht="15" hidden="false" customHeight="false" outlineLevel="0" collapsed="false">
      <c r="A277" s="6"/>
      <c r="B277" s="7"/>
      <c r="C277" s="4" t="n">
        <v>33</v>
      </c>
      <c r="D277" s="6" t="s">
        <v>221</v>
      </c>
      <c r="E277" s="7" t="s">
        <v>420</v>
      </c>
      <c r="F277" s="7" t="s">
        <v>223</v>
      </c>
      <c r="G277" s="4" t="n">
        <v>125</v>
      </c>
    </row>
    <row r="278" customFormat="false" ht="15" hidden="false" customHeight="false" outlineLevel="0" collapsed="false">
      <c r="A278" s="6"/>
      <c r="B278" s="7"/>
      <c r="C278" s="4" t="n">
        <v>34</v>
      </c>
      <c r="D278" s="6" t="s">
        <v>221</v>
      </c>
      <c r="E278" s="7" t="s">
        <v>458</v>
      </c>
      <c r="F278" s="7" t="s">
        <v>223</v>
      </c>
      <c r="G278" s="4" t="n">
        <v>125</v>
      </c>
    </row>
    <row r="279" customFormat="false" ht="15" hidden="false" customHeight="false" outlineLevel="0" collapsed="false">
      <c r="A279" s="6"/>
      <c r="B279" s="7"/>
      <c r="C279" s="4" t="n">
        <v>35</v>
      </c>
      <c r="D279" s="6" t="s">
        <v>227</v>
      </c>
      <c r="E279" s="7" t="s">
        <v>459</v>
      </c>
      <c r="F279" s="7" t="s">
        <v>229</v>
      </c>
      <c r="G279" s="4" t="n">
        <v>165</v>
      </c>
    </row>
    <row r="280" customFormat="false" ht="15" hidden="false" customHeight="false" outlineLevel="0" collapsed="false">
      <c r="A280" s="6"/>
      <c r="B280" s="7"/>
      <c r="C280" s="4" t="n">
        <v>36</v>
      </c>
      <c r="D280" s="6" t="s">
        <v>227</v>
      </c>
      <c r="E280" s="7" t="s">
        <v>460</v>
      </c>
      <c r="F280" s="7" t="s">
        <v>229</v>
      </c>
      <c r="G280" s="4" t="n">
        <v>165</v>
      </c>
    </row>
    <row r="281" customFormat="false" ht="15" hidden="false" customHeight="false" outlineLevel="0" collapsed="false">
      <c r="A281" s="6"/>
      <c r="B281" s="7"/>
      <c r="C281" s="4" t="n">
        <v>37</v>
      </c>
      <c r="D281" s="6" t="s">
        <v>227</v>
      </c>
      <c r="E281" s="7" t="s">
        <v>461</v>
      </c>
      <c r="F281" s="7" t="s">
        <v>229</v>
      </c>
      <c r="G281" s="4" t="n">
        <v>165</v>
      </c>
    </row>
    <row r="282" customFormat="false" ht="15" hidden="false" customHeight="false" outlineLevel="0" collapsed="false">
      <c r="A282" s="6"/>
      <c r="B282" s="7"/>
      <c r="C282" s="4" t="n">
        <v>38</v>
      </c>
      <c r="D282" s="6" t="s">
        <v>227</v>
      </c>
      <c r="E282" s="7" t="s">
        <v>462</v>
      </c>
      <c r="F282" s="7" t="s">
        <v>229</v>
      </c>
      <c r="G282" s="4" t="n">
        <v>165</v>
      </c>
    </row>
    <row r="283" customFormat="false" ht="23.85" hidden="false" customHeight="false" outlineLevel="0" collapsed="false">
      <c r="A283" s="6"/>
      <c r="B283" s="7"/>
      <c r="C283" s="4" t="n">
        <v>39</v>
      </c>
      <c r="D283" s="6" t="s">
        <v>233</v>
      </c>
      <c r="E283" s="7" t="s">
        <v>463</v>
      </c>
      <c r="F283" s="7" t="s">
        <v>235</v>
      </c>
      <c r="G283" s="4" t="n">
        <v>175</v>
      </c>
    </row>
    <row r="284" customFormat="false" ht="23.85" hidden="false" customHeight="false" outlineLevel="0" collapsed="false">
      <c r="A284" s="6"/>
      <c r="B284" s="7"/>
      <c r="C284" s="4" t="n">
        <v>40</v>
      </c>
      <c r="D284" s="6" t="s">
        <v>233</v>
      </c>
      <c r="E284" s="7" t="s">
        <v>276</v>
      </c>
      <c r="F284" s="7" t="s">
        <v>235</v>
      </c>
      <c r="G284" s="4" t="n">
        <v>175</v>
      </c>
    </row>
    <row r="285" customFormat="false" ht="23.85" hidden="false" customHeight="false" outlineLevel="0" collapsed="false">
      <c r="A285" s="10" t="n">
        <v>8</v>
      </c>
      <c r="B285" s="11" t="s">
        <v>31</v>
      </c>
      <c r="C285" s="8" t="n">
        <v>1</v>
      </c>
      <c r="D285" s="10" t="s">
        <v>86</v>
      </c>
      <c r="E285" s="11" t="s">
        <v>464</v>
      </c>
      <c r="F285" s="11" t="s">
        <v>183</v>
      </c>
      <c r="G285" s="8" t="n">
        <v>0</v>
      </c>
    </row>
    <row r="286" customFormat="false" ht="15" hidden="false" customHeight="false" outlineLevel="0" collapsed="false">
      <c r="A286" s="10"/>
      <c r="B286" s="11"/>
      <c r="C286" s="8" t="n">
        <v>2</v>
      </c>
      <c r="D286" s="10" t="s">
        <v>86</v>
      </c>
      <c r="E286" s="11" t="s">
        <v>238</v>
      </c>
      <c r="F286" s="11" t="s">
        <v>183</v>
      </c>
      <c r="G286" s="8" t="n">
        <v>0</v>
      </c>
    </row>
    <row r="287" customFormat="false" ht="15" hidden="false" customHeight="false" outlineLevel="0" collapsed="false">
      <c r="A287" s="10"/>
      <c r="B287" s="11"/>
      <c r="C287" s="8" t="n">
        <v>3</v>
      </c>
      <c r="D287" s="10" t="s">
        <v>86</v>
      </c>
      <c r="E287" s="11" t="s">
        <v>465</v>
      </c>
      <c r="F287" s="11" t="s">
        <v>183</v>
      </c>
      <c r="G287" s="8" t="n">
        <v>0</v>
      </c>
    </row>
    <row r="288" customFormat="false" ht="15" hidden="false" customHeight="false" outlineLevel="0" collapsed="false">
      <c r="A288" s="10"/>
      <c r="B288" s="11"/>
      <c r="C288" s="8" t="n">
        <v>4</v>
      </c>
      <c r="D288" s="10" t="s">
        <v>186</v>
      </c>
      <c r="E288" s="11" t="s">
        <v>466</v>
      </c>
      <c r="F288" s="11" t="s">
        <v>188</v>
      </c>
      <c r="G288" s="8" t="n">
        <v>10</v>
      </c>
    </row>
    <row r="289" customFormat="false" ht="15" hidden="false" customHeight="false" outlineLevel="0" collapsed="false">
      <c r="A289" s="10"/>
      <c r="B289" s="11"/>
      <c r="C289" s="8" t="n">
        <v>5</v>
      </c>
      <c r="D289" s="10" t="s">
        <v>186</v>
      </c>
      <c r="E289" s="11" t="s">
        <v>467</v>
      </c>
      <c r="F289" s="11" t="s">
        <v>188</v>
      </c>
      <c r="G289" s="8" t="n">
        <v>10</v>
      </c>
    </row>
    <row r="290" customFormat="false" ht="15" hidden="false" customHeight="false" outlineLevel="0" collapsed="false">
      <c r="A290" s="10"/>
      <c r="B290" s="11"/>
      <c r="C290" s="8" t="n">
        <v>6</v>
      </c>
      <c r="D290" s="10" t="s">
        <v>186</v>
      </c>
      <c r="E290" s="11" t="s">
        <v>468</v>
      </c>
      <c r="F290" s="11" t="s">
        <v>188</v>
      </c>
      <c r="G290" s="8" t="n">
        <v>10</v>
      </c>
    </row>
    <row r="291" customFormat="false" ht="23.85" hidden="false" customHeight="false" outlineLevel="0" collapsed="false">
      <c r="A291" s="10"/>
      <c r="B291" s="11"/>
      <c r="C291" s="8" t="n">
        <v>7</v>
      </c>
      <c r="D291" s="10" t="s">
        <v>191</v>
      </c>
      <c r="E291" s="11" t="s">
        <v>469</v>
      </c>
      <c r="F291" s="11" t="s">
        <v>193</v>
      </c>
      <c r="G291" s="8" t="n">
        <v>25</v>
      </c>
    </row>
    <row r="292" customFormat="false" ht="23.85" hidden="false" customHeight="false" outlineLevel="0" collapsed="false">
      <c r="A292" s="10"/>
      <c r="B292" s="11"/>
      <c r="C292" s="8" t="n">
        <v>8</v>
      </c>
      <c r="D292" s="10" t="s">
        <v>191</v>
      </c>
      <c r="E292" s="11" t="s">
        <v>470</v>
      </c>
      <c r="F292" s="11" t="s">
        <v>193</v>
      </c>
      <c r="G292" s="8" t="n">
        <v>25</v>
      </c>
    </row>
    <row r="293" customFormat="false" ht="23.85" hidden="false" customHeight="false" outlineLevel="0" collapsed="false">
      <c r="A293" s="10"/>
      <c r="B293" s="11"/>
      <c r="C293" s="8" t="n">
        <v>9</v>
      </c>
      <c r="D293" s="10" t="s">
        <v>191</v>
      </c>
      <c r="E293" s="11" t="s">
        <v>471</v>
      </c>
      <c r="F293" s="11" t="s">
        <v>193</v>
      </c>
      <c r="G293" s="8" t="n">
        <v>25</v>
      </c>
    </row>
    <row r="294" customFormat="false" ht="23.85" hidden="false" customHeight="false" outlineLevel="0" collapsed="false">
      <c r="A294" s="10"/>
      <c r="B294" s="11"/>
      <c r="C294" s="8" t="n">
        <v>10</v>
      </c>
      <c r="D294" s="10" t="s">
        <v>191</v>
      </c>
      <c r="E294" s="11" t="s">
        <v>472</v>
      </c>
      <c r="F294" s="11" t="s">
        <v>193</v>
      </c>
      <c r="G294" s="8" t="n">
        <v>25</v>
      </c>
    </row>
    <row r="295" customFormat="false" ht="23.85" hidden="false" customHeight="false" outlineLevel="0" collapsed="false">
      <c r="A295" s="10"/>
      <c r="B295" s="11"/>
      <c r="C295" s="8" t="n">
        <v>11</v>
      </c>
      <c r="D295" s="10" t="s">
        <v>191</v>
      </c>
      <c r="E295" s="11" t="s">
        <v>473</v>
      </c>
      <c r="F295" s="11" t="s">
        <v>193</v>
      </c>
      <c r="G295" s="8" t="n">
        <v>25</v>
      </c>
    </row>
    <row r="296" customFormat="false" ht="23.85" hidden="false" customHeight="false" outlineLevel="0" collapsed="false">
      <c r="A296" s="10"/>
      <c r="B296" s="11"/>
      <c r="C296" s="8" t="n">
        <v>12</v>
      </c>
      <c r="D296" s="10" t="s">
        <v>191</v>
      </c>
      <c r="E296" s="11" t="s">
        <v>474</v>
      </c>
      <c r="F296" s="11" t="s">
        <v>193</v>
      </c>
      <c r="G296" s="8" t="n">
        <v>25</v>
      </c>
    </row>
    <row r="297" customFormat="false" ht="23.85" hidden="false" customHeight="false" outlineLevel="0" collapsed="false">
      <c r="A297" s="10"/>
      <c r="B297" s="11"/>
      <c r="C297" s="8" t="n">
        <v>13</v>
      </c>
      <c r="D297" s="10" t="s">
        <v>191</v>
      </c>
      <c r="E297" s="11" t="s">
        <v>475</v>
      </c>
      <c r="F297" s="11" t="s">
        <v>193</v>
      </c>
      <c r="G297" s="8" t="n">
        <v>25</v>
      </c>
    </row>
    <row r="298" customFormat="false" ht="23.85" hidden="false" customHeight="false" outlineLevel="0" collapsed="false">
      <c r="A298" s="10"/>
      <c r="B298" s="11"/>
      <c r="C298" s="8" t="n">
        <v>14</v>
      </c>
      <c r="D298" s="10" t="s">
        <v>191</v>
      </c>
      <c r="E298" s="11" t="s">
        <v>476</v>
      </c>
      <c r="F298" s="11" t="s">
        <v>193</v>
      </c>
      <c r="G298" s="8" t="n">
        <v>25</v>
      </c>
    </row>
    <row r="299" customFormat="false" ht="15" hidden="false" customHeight="false" outlineLevel="0" collapsed="false">
      <c r="A299" s="10"/>
      <c r="B299" s="11"/>
      <c r="C299" s="8" t="n">
        <v>15</v>
      </c>
      <c r="D299" s="10" t="s">
        <v>201</v>
      </c>
      <c r="E299" s="11" t="s">
        <v>477</v>
      </c>
      <c r="F299" s="11" t="s">
        <v>203</v>
      </c>
      <c r="G299" s="8" t="n">
        <v>70</v>
      </c>
    </row>
    <row r="300" customFormat="false" ht="15" hidden="false" customHeight="false" outlineLevel="0" collapsed="false">
      <c r="A300" s="10"/>
      <c r="B300" s="11"/>
      <c r="C300" s="8" t="n">
        <v>16</v>
      </c>
      <c r="D300" s="10" t="s">
        <v>201</v>
      </c>
      <c r="E300" s="11" t="s">
        <v>478</v>
      </c>
      <c r="F300" s="11" t="s">
        <v>203</v>
      </c>
      <c r="G300" s="8" t="n">
        <v>70</v>
      </c>
    </row>
    <row r="301" customFormat="false" ht="15" hidden="false" customHeight="false" outlineLevel="0" collapsed="false">
      <c r="A301" s="10"/>
      <c r="B301" s="11"/>
      <c r="C301" s="8" t="n">
        <v>17</v>
      </c>
      <c r="D301" s="10" t="s">
        <v>201</v>
      </c>
      <c r="E301" s="11" t="s">
        <v>479</v>
      </c>
      <c r="F301" s="11" t="s">
        <v>203</v>
      </c>
      <c r="G301" s="8" t="n">
        <v>70</v>
      </c>
    </row>
    <row r="302" customFormat="false" ht="15" hidden="false" customHeight="false" outlineLevel="0" collapsed="false">
      <c r="A302" s="10"/>
      <c r="B302" s="11"/>
      <c r="C302" s="8" t="n">
        <v>18</v>
      </c>
      <c r="D302" s="10" t="s">
        <v>201</v>
      </c>
      <c r="E302" s="11" t="s">
        <v>480</v>
      </c>
      <c r="F302" s="11" t="s">
        <v>203</v>
      </c>
      <c r="G302" s="8" t="n">
        <v>70</v>
      </c>
    </row>
    <row r="303" customFormat="false" ht="15" hidden="false" customHeight="false" outlineLevel="0" collapsed="false">
      <c r="A303" s="10"/>
      <c r="B303" s="11"/>
      <c r="C303" s="8" t="n">
        <v>19</v>
      </c>
      <c r="D303" s="10" t="s">
        <v>201</v>
      </c>
      <c r="E303" s="11" t="s">
        <v>481</v>
      </c>
      <c r="F303" s="11" t="s">
        <v>203</v>
      </c>
      <c r="G303" s="8" t="n">
        <v>70</v>
      </c>
    </row>
    <row r="304" customFormat="false" ht="15" hidden="false" customHeight="false" outlineLevel="0" collapsed="false">
      <c r="A304" s="10"/>
      <c r="B304" s="11"/>
      <c r="C304" s="8" t="n">
        <v>20</v>
      </c>
      <c r="D304" s="10" t="s">
        <v>201</v>
      </c>
      <c r="E304" s="11" t="s">
        <v>482</v>
      </c>
      <c r="F304" s="11" t="s">
        <v>203</v>
      </c>
      <c r="G304" s="8" t="n">
        <v>70</v>
      </c>
    </row>
    <row r="305" customFormat="false" ht="15" hidden="false" customHeight="false" outlineLevel="0" collapsed="false">
      <c r="A305" s="10"/>
      <c r="B305" s="11"/>
      <c r="C305" s="8" t="n">
        <v>21</v>
      </c>
      <c r="D305" s="10" t="s">
        <v>201</v>
      </c>
      <c r="E305" s="11" t="s">
        <v>483</v>
      </c>
      <c r="F305" s="11" t="s">
        <v>203</v>
      </c>
      <c r="G305" s="8" t="n">
        <v>70</v>
      </c>
    </row>
    <row r="306" customFormat="false" ht="15" hidden="false" customHeight="false" outlineLevel="0" collapsed="false">
      <c r="A306" s="10"/>
      <c r="B306" s="11"/>
      <c r="C306" s="8" t="n">
        <v>22</v>
      </c>
      <c r="D306" s="10" t="s">
        <v>201</v>
      </c>
      <c r="E306" s="11" t="s">
        <v>484</v>
      </c>
      <c r="F306" s="11" t="s">
        <v>203</v>
      </c>
      <c r="G306" s="8" t="n">
        <v>70</v>
      </c>
    </row>
    <row r="307" customFormat="false" ht="15" hidden="false" customHeight="false" outlineLevel="0" collapsed="false">
      <c r="A307" s="10"/>
      <c r="B307" s="11"/>
      <c r="C307" s="8" t="n">
        <v>23</v>
      </c>
      <c r="D307" s="10" t="s">
        <v>211</v>
      </c>
      <c r="E307" s="11" t="s">
        <v>485</v>
      </c>
      <c r="F307" s="11" t="s">
        <v>213</v>
      </c>
      <c r="G307" s="8" t="n">
        <v>100</v>
      </c>
    </row>
    <row r="308" customFormat="false" ht="15" hidden="false" customHeight="false" outlineLevel="0" collapsed="false">
      <c r="A308" s="10"/>
      <c r="B308" s="11"/>
      <c r="C308" s="8" t="n">
        <v>24</v>
      </c>
      <c r="D308" s="10" t="s">
        <v>211</v>
      </c>
      <c r="E308" s="11" t="s">
        <v>486</v>
      </c>
      <c r="F308" s="11" t="s">
        <v>213</v>
      </c>
      <c r="G308" s="8" t="n">
        <v>100</v>
      </c>
    </row>
    <row r="309" customFormat="false" ht="15" hidden="false" customHeight="false" outlineLevel="0" collapsed="false">
      <c r="A309" s="10"/>
      <c r="B309" s="11"/>
      <c r="C309" s="8" t="n">
        <v>25</v>
      </c>
      <c r="D309" s="10" t="s">
        <v>211</v>
      </c>
      <c r="E309" s="11" t="s">
        <v>487</v>
      </c>
      <c r="F309" s="11" t="s">
        <v>213</v>
      </c>
      <c r="G309" s="8" t="n">
        <v>100</v>
      </c>
    </row>
    <row r="310" customFormat="false" ht="15" hidden="false" customHeight="false" outlineLevel="0" collapsed="false">
      <c r="A310" s="10"/>
      <c r="B310" s="11"/>
      <c r="C310" s="8" t="n">
        <v>26</v>
      </c>
      <c r="D310" s="10" t="s">
        <v>211</v>
      </c>
      <c r="E310" s="11" t="s">
        <v>488</v>
      </c>
      <c r="F310" s="11" t="s">
        <v>213</v>
      </c>
      <c r="G310" s="8" t="n">
        <v>100</v>
      </c>
    </row>
    <row r="311" customFormat="false" ht="15" hidden="false" customHeight="false" outlineLevel="0" collapsed="false">
      <c r="A311" s="10"/>
      <c r="B311" s="11"/>
      <c r="C311" s="8" t="n">
        <v>27</v>
      </c>
      <c r="D311" s="10" t="s">
        <v>211</v>
      </c>
      <c r="E311" s="11" t="s">
        <v>489</v>
      </c>
      <c r="F311" s="11" t="s">
        <v>213</v>
      </c>
      <c r="G311" s="8" t="n">
        <v>100</v>
      </c>
    </row>
    <row r="312" customFormat="false" ht="15" hidden="false" customHeight="false" outlineLevel="0" collapsed="false">
      <c r="A312" s="10"/>
      <c r="B312" s="11"/>
      <c r="C312" s="8" t="n">
        <v>28</v>
      </c>
      <c r="D312" s="10" t="s">
        <v>211</v>
      </c>
      <c r="E312" s="11" t="s">
        <v>490</v>
      </c>
      <c r="F312" s="11" t="s">
        <v>213</v>
      </c>
      <c r="G312" s="8" t="n">
        <v>100</v>
      </c>
    </row>
    <row r="313" customFormat="false" ht="15" hidden="false" customHeight="false" outlineLevel="0" collapsed="false">
      <c r="A313" s="10"/>
      <c r="B313" s="11"/>
      <c r="C313" s="8" t="n">
        <v>29</v>
      </c>
      <c r="D313" s="10" t="s">
        <v>211</v>
      </c>
      <c r="E313" s="11" t="s">
        <v>491</v>
      </c>
      <c r="F313" s="11" t="s">
        <v>213</v>
      </c>
      <c r="G313" s="8" t="n">
        <v>100</v>
      </c>
    </row>
    <row r="314" customFormat="false" ht="15" hidden="false" customHeight="false" outlineLevel="0" collapsed="false">
      <c r="A314" s="10"/>
      <c r="B314" s="11"/>
      <c r="C314" s="8" t="n">
        <v>30</v>
      </c>
      <c r="D314" s="10" t="s">
        <v>211</v>
      </c>
      <c r="E314" s="11" t="s">
        <v>492</v>
      </c>
      <c r="F314" s="11" t="s">
        <v>213</v>
      </c>
      <c r="G314" s="8" t="n">
        <v>100</v>
      </c>
    </row>
    <row r="315" customFormat="false" ht="15" hidden="false" customHeight="false" outlineLevel="0" collapsed="false">
      <c r="A315" s="10"/>
      <c r="B315" s="11"/>
      <c r="C315" s="8" t="n">
        <v>31</v>
      </c>
      <c r="D315" s="10" t="s">
        <v>221</v>
      </c>
      <c r="E315" s="11" t="s">
        <v>493</v>
      </c>
      <c r="F315" s="11" t="s">
        <v>223</v>
      </c>
      <c r="G315" s="8" t="n">
        <v>125</v>
      </c>
    </row>
    <row r="316" customFormat="false" ht="15" hidden="false" customHeight="false" outlineLevel="0" collapsed="false">
      <c r="A316" s="10"/>
      <c r="B316" s="11"/>
      <c r="C316" s="8" t="n">
        <v>32</v>
      </c>
      <c r="D316" s="10" t="s">
        <v>221</v>
      </c>
      <c r="E316" s="11" t="s">
        <v>494</v>
      </c>
      <c r="F316" s="11" t="s">
        <v>223</v>
      </c>
      <c r="G316" s="8" t="n">
        <v>125</v>
      </c>
    </row>
    <row r="317" customFormat="false" ht="15" hidden="false" customHeight="false" outlineLevel="0" collapsed="false">
      <c r="A317" s="10"/>
      <c r="B317" s="11"/>
      <c r="C317" s="8" t="n">
        <v>33</v>
      </c>
      <c r="D317" s="10" t="s">
        <v>221</v>
      </c>
      <c r="E317" s="11" t="s">
        <v>420</v>
      </c>
      <c r="F317" s="11" t="s">
        <v>223</v>
      </c>
      <c r="G317" s="8" t="n">
        <v>125</v>
      </c>
    </row>
    <row r="318" customFormat="false" ht="15" hidden="false" customHeight="false" outlineLevel="0" collapsed="false">
      <c r="A318" s="10"/>
      <c r="B318" s="11"/>
      <c r="C318" s="8" t="n">
        <v>34</v>
      </c>
      <c r="D318" s="10" t="s">
        <v>221</v>
      </c>
      <c r="E318" s="11" t="s">
        <v>495</v>
      </c>
      <c r="F318" s="11" t="s">
        <v>223</v>
      </c>
      <c r="G318" s="8" t="n">
        <v>125</v>
      </c>
    </row>
    <row r="319" customFormat="false" ht="15" hidden="false" customHeight="false" outlineLevel="0" collapsed="false">
      <c r="A319" s="10"/>
      <c r="B319" s="11"/>
      <c r="C319" s="8" t="n">
        <v>35</v>
      </c>
      <c r="D319" s="10" t="s">
        <v>227</v>
      </c>
      <c r="E319" s="11" t="s">
        <v>496</v>
      </c>
      <c r="F319" s="11" t="s">
        <v>229</v>
      </c>
      <c r="G319" s="8" t="n">
        <v>165</v>
      </c>
    </row>
    <row r="320" customFormat="false" ht="15" hidden="false" customHeight="false" outlineLevel="0" collapsed="false">
      <c r="A320" s="10"/>
      <c r="B320" s="11"/>
      <c r="C320" s="8" t="n">
        <v>36</v>
      </c>
      <c r="D320" s="10" t="s">
        <v>227</v>
      </c>
      <c r="E320" s="11" t="s">
        <v>497</v>
      </c>
      <c r="F320" s="11" t="s">
        <v>229</v>
      </c>
      <c r="G320" s="8" t="n">
        <v>165</v>
      </c>
    </row>
    <row r="321" customFormat="false" ht="15" hidden="false" customHeight="false" outlineLevel="0" collapsed="false">
      <c r="A321" s="10"/>
      <c r="B321" s="11"/>
      <c r="C321" s="8" t="n">
        <v>37</v>
      </c>
      <c r="D321" s="10" t="s">
        <v>227</v>
      </c>
      <c r="E321" s="11" t="s">
        <v>498</v>
      </c>
      <c r="F321" s="11" t="s">
        <v>229</v>
      </c>
      <c r="G321" s="8" t="n">
        <v>165</v>
      </c>
    </row>
    <row r="322" customFormat="false" ht="15" hidden="false" customHeight="false" outlineLevel="0" collapsed="false">
      <c r="A322" s="10"/>
      <c r="B322" s="11"/>
      <c r="C322" s="8" t="n">
        <v>38</v>
      </c>
      <c r="D322" s="10" t="s">
        <v>227</v>
      </c>
      <c r="E322" s="11" t="s">
        <v>499</v>
      </c>
      <c r="F322" s="11" t="s">
        <v>229</v>
      </c>
      <c r="G322" s="8" t="n">
        <v>165</v>
      </c>
    </row>
    <row r="323" customFormat="false" ht="23.85" hidden="false" customHeight="false" outlineLevel="0" collapsed="false">
      <c r="A323" s="10"/>
      <c r="B323" s="11"/>
      <c r="C323" s="8" t="n">
        <v>39</v>
      </c>
      <c r="D323" s="10" t="s">
        <v>233</v>
      </c>
      <c r="E323" s="11" t="s">
        <v>500</v>
      </c>
      <c r="F323" s="11" t="s">
        <v>235</v>
      </c>
      <c r="G323" s="8" t="n">
        <v>175</v>
      </c>
    </row>
    <row r="324" customFormat="false" ht="23.85" hidden="false" customHeight="false" outlineLevel="0" collapsed="false">
      <c r="A324" s="10"/>
      <c r="B324" s="11"/>
      <c r="C324" s="8" t="n">
        <v>40</v>
      </c>
      <c r="D324" s="10" t="s">
        <v>233</v>
      </c>
      <c r="E324" s="11" t="s">
        <v>276</v>
      </c>
      <c r="F324" s="11" t="s">
        <v>235</v>
      </c>
      <c r="G324" s="8" t="n">
        <v>175</v>
      </c>
    </row>
    <row r="325" customFormat="false" ht="23.85" hidden="false" customHeight="false" outlineLevel="0" collapsed="false">
      <c r="A325" s="6" t="n">
        <v>9</v>
      </c>
      <c r="B325" s="7" t="s">
        <v>34</v>
      </c>
      <c r="C325" s="4" t="n">
        <v>1</v>
      </c>
      <c r="D325" s="6" t="s">
        <v>501</v>
      </c>
      <c r="E325" s="7" t="s">
        <v>502</v>
      </c>
      <c r="F325" s="7" t="s">
        <v>503</v>
      </c>
      <c r="G325" s="6"/>
    </row>
    <row r="326" customFormat="false" ht="15" hidden="false" customHeight="false" outlineLevel="0" collapsed="false">
      <c r="A326" s="6"/>
      <c r="B326" s="7"/>
      <c r="C326" s="4" t="n">
        <v>2</v>
      </c>
      <c r="D326" s="6" t="s">
        <v>501</v>
      </c>
      <c r="E326" s="7" t="s">
        <v>504</v>
      </c>
      <c r="F326" s="7" t="s">
        <v>503</v>
      </c>
      <c r="G326" s="6"/>
    </row>
    <row r="327" customFormat="false" ht="15" hidden="false" customHeight="false" outlineLevel="0" collapsed="false">
      <c r="A327" s="6"/>
      <c r="B327" s="7"/>
      <c r="C327" s="4" t="n">
        <v>3</v>
      </c>
      <c r="D327" s="6" t="s">
        <v>501</v>
      </c>
      <c r="E327" s="7" t="s">
        <v>505</v>
      </c>
      <c r="F327" s="7" t="s">
        <v>503</v>
      </c>
      <c r="G327" s="6"/>
    </row>
    <row r="328" customFormat="false" ht="15" hidden="false" customHeight="false" outlineLevel="0" collapsed="false">
      <c r="A328" s="6"/>
      <c r="B328" s="7"/>
      <c r="C328" s="4" t="n">
        <v>4</v>
      </c>
      <c r="D328" s="6" t="s">
        <v>501</v>
      </c>
      <c r="E328" s="7" t="s">
        <v>506</v>
      </c>
      <c r="F328" s="7" t="s">
        <v>503</v>
      </c>
      <c r="G328" s="6"/>
    </row>
    <row r="329" customFormat="false" ht="15" hidden="false" customHeight="false" outlineLevel="0" collapsed="false">
      <c r="A329" s="6"/>
      <c r="B329" s="7"/>
      <c r="C329" s="4" t="n">
        <v>5</v>
      </c>
      <c r="D329" s="6" t="s">
        <v>501</v>
      </c>
      <c r="E329" s="7" t="s">
        <v>507</v>
      </c>
      <c r="F329" s="7" t="s">
        <v>503</v>
      </c>
      <c r="G329" s="6"/>
    </row>
    <row r="330" customFormat="false" ht="15" hidden="false" customHeight="false" outlineLevel="0" collapsed="false">
      <c r="A330" s="6"/>
      <c r="B330" s="7"/>
      <c r="C330" s="4" t="n">
        <v>6</v>
      </c>
      <c r="D330" s="6" t="s">
        <v>501</v>
      </c>
      <c r="E330" s="7" t="s">
        <v>508</v>
      </c>
      <c r="F330" s="7" t="s">
        <v>503</v>
      </c>
      <c r="G330" s="6"/>
    </row>
    <row r="331" customFormat="false" ht="15" hidden="false" customHeight="false" outlineLevel="0" collapsed="false">
      <c r="A331" s="6"/>
      <c r="B331" s="7"/>
      <c r="C331" s="4" t="n">
        <v>7</v>
      </c>
      <c r="D331" s="6" t="s">
        <v>501</v>
      </c>
      <c r="E331" s="7" t="s">
        <v>509</v>
      </c>
      <c r="F331" s="7" t="s">
        <v>503</v>
      </c>
      <c r="G331" s="6"/>
    </row>
    <row r="332" customFormat="false" ht="15" hidden="false" customHeight="false" outlineLevel="0" collapsed="false">
      <c r="A332" s="6"/>
      <c r="B332" s="7"/>
      <c r="C332" s="4" t="n">
        <v>8</v>
      </c>
      <c r="D332" s="6" t="s">
        <v>501</v>
      </c>
      <c r="E332" s="7" t="s">
        <v>510</v>
      </c>
      <c r="F332" s="7" t="s">
        <v>503</v>
      </c>
      <c r="G332" s="6"/>
    </row>
    <row r="333" customFormat="false" ht="15" hidden="false" customHeight="false" outlineLevel="0" collapsed="false">
      <c r="A333" s="6"/>
      <c r="B333" s="7"/>
      <c r="C333" s="4" t="n">
        <v>9</v>
      </c>
      <c r="D333" s="6" t="s">
        <v>501</v>
      </c>
      <c r="E333" s="7" t="s">
        <v>511</v>
      </c>
      <c r="F333" s="7" t="s">
        <v>503</v>
      </c>
      <c r="G333" s="6"/>
    </row>
    <row r="334" customFormat="false" ht="15" hidden="false" customHeight="false" outlineLevel="0" collapsed="false">
      <c r="A334" s="6"/>
      <c r="B334" s="7"/>
      <c r="C334" s="4" t="n">
        <v>10</v>
      </c>
      <c r="D334" s="6" t="s">
        <v>501</v>
      </c>
      <c r="E334" s="7" t="s">
        <v>512</v>
      </c>
      <c r="F334" s="7" t="s">
        <v>503</v>
      </c>
      <c r="G334" s="6"/>
    </row>
    <row r="335" customFormat="false" ht="15" hidden="false" customHeight="false" outlineLevel="0" collapsed="false">
      <c r="A335" s="6"/>
      <c r="B335" s="7"/>
      <c r="C335" s="4" t="n">
        <v>11</v>
      </c>
      <c r="D335" s="6" t="s">
        <v>501</v>
      </c>
      <c r="E335" s="7" t="s">
        <v>513</v>
      </c>
      <c r="F335" s="7" t="s">
        <v>503</v>
      </c>
      <c r="G335" s="6"/>
    </row>
    <row r="336" customFormat="false" ht="15" hidden="false" customHeight="false" outlineLevel="0" collapsed="false">
      <c r="A336" s="6"/>
      <c r="B336" s="7"/>
      <c r="C336" s="4" t="n">
        <v>12</v>
      </c>
      <c r="D336" s="6" t="s">
        <v>501</v>
      </c>
      <c r="E336" s="7" t="s">
        <v>514</v>
      </c>
      <c r="F336" s="7" t="s">
        <v>503</v>
      </c>
      <c r="G336" s="6"/>
    </row>
    <row r="337" customFormat="false" ht="15" hidden="false" customHeight="false" outlineLevel="0" collapsed="false">
      <c r="A337" s="6"/>
      <c r="B337" s="7"/>
      <c r="C337" s="4" t="n">
        <v>13</v>
      </c>
      <c r="D337" s="6" t="s">
        <v>501</v>
      </c>
      <c r="E337" s="7" t="s">
        <v>515</v>
      </c>
      <c r="F337" s="7" t="s">
        <v>503</v>
      </c>
      <c r="G337" s="6"/>
    </row>
    <row r="338" customFormat="false" ht="15" hidden="false" customHeight="false" outlineLevel="0" collapsed="false">
      <c r="A338" s="6"/>
      <c r="B338" s="7"/>
      <c r="C338" s="4" t="n">
        <v>14</v>
      </c>
      <c r="D338" s="6" t="s">
        <v>501</v>
      </c>
      <c r="E338" s="7" t="s">
        <v>516</v>
      </c>
      <c r="F338" s="7" t="s">
        <v>503</v>
      </c>
      <c r="G338" s="6"/>
    </row>
    <row r="339" customFormat="false" ht="15" hidden="false" customHeight="false" outlineLevel="0" collapsed="false">
      <c r="A339" s="6"/>
      <c r="B339" s="7"/>
      <c r="C339" s="4" t="n">
        <v>15</v>
      </c>
      <c r="D339" s="6" t="s">
        <v>501</v>
      </c>
      <c r="E339" s="7" t="s">
        <v>517</v>
      </c>
      <c r="F339" s="7" t="s">
        <v>503</v>
      </c>
      <c r="G339" s="6"/>
    </row>
    <row r="340" customFormat="false" ht="15" hidden="false" customHeight="false" outlineLevel="0" collapsed="false">
      <c r="A340" s="6"/>
      <c r="B340" s="7"/>
      <c r="C340" s="4" t="n">
        <v>16</v>
      </c>
      <c r="D340" s="6" t="s">
        <v>501</v>
      </c>
      <c r="E340" s="7" t="s">
        <v>518</v>
      </c>
      <c r="F340" s="7" t="s">
        <v>503</v>
      </c>
      <c r="G340" s="6"/>
    </row>
    <row r="341" customFormat="false" ht="15" hidden="false" customHeight="false" outlineLevel="0" collapsed="false">
      <c r="A341" s="6"/>
      <c r="B341" s="7"/>
      <c r="C341" s="4" t="n">
        <v>17</v>
      </c>
      <c r="D341" s="6" t="s">
        <v>501</v>
      </c>
      <c r="E341" s="7" t="s">
        <v>519</v>
      </c>
      <c r="F341" s="7" t="s">
        <v>503</v>
      </c>
      <c r="G341" s="6"/>
    </row>
    <row r="342" customFormat="false" ht="15" hidden="false" customHeight="false" outlineLevel="0" collapsed="false">
      <c r="A342" s="6"/>
      <c r="B342" s="7"/>
      <c r="C342" s="4" t="n">
        <v>18</v>
      </c>
      <c r="D342" s="6" t="s">
        <v>501</v>
      </c>
      <c r="E342" s="7" t="s">
        <v>520</v>
      </c>
      <c r="F342" s="7" t="s">
        <v>503</v>
      </c>
      <c r="G342" s="6"/>
    </row>
    <row r="343" customFormat="false" ht="15" hidden="false" customHeight="false" outlineLevel="0" collapsed="false">
      <c r="A343" s="6"/>
      <c r="B343" s="7"/>
      <c r="C343" s="4" t="n">
        <v>19</v>
      </c>
      <c r="D343" s="6" t="s">
        <v>501</v>
      </c>
      <c r="E343" s="7" t="s">
        <v>521</v>
      </c>
      <c r="F343" s="7" t="s">
        <v>503</v>
      </c>
      <c r="G343" s="6"/>
    </row>
    <row r="344" customFormat="false" ht="15" hidden="false" customHeight="false" outlineLevel="0" collapsed="false">
      <c r="A344" s="6"/>
      <c r="B344" s="7"/>
      <c r="C344" s="4" t="n">
        <v>20</v>
      </c>
      <c r="D344" s="6" t="s">
        <v>501</v>
      </c>
      <c r="E344" s="7" t="s">
        <v>522</v>
      </c>
      <c r="F344" s="7" t="s">
        <v>503</v>
      </c>
      <c r="G344" s="6"/>
    </row>
    <row r="345" customFormat="false" ht="15" hidden="false" customHeight="false" outlineLevel="0" collapsed="false">
      <c r="A345" s="10" t="n">
        <v>10</v>
      </c>
      <c r="B345" s="11" t="s">
        <v>37</v>
      </c>
      <c r="C345" s="10" t="s">
        <v>15</v>
      </c>
      <c r="D345" s="10" t="s">
        <v>523</v>
      </c>
      <c r="E345" s="11" t="s">
        <v>524</v>
      </c>
      <c r="F345" s="10" t="s">
        <v>15</v>
      </c>
      <c r="G345" s="10"/>
    </row>
    <row r="346" customFormat="false" ht="23.85" hidden="false" customHeight="false" outlineLevel="0" collapsed="false">
      <c r="A346" s="6" t="n">
        <v>11</v>
      </c>
      <c r="B346" s="7" t="s">
        <v>41</v>
      </c>
      <c r="C346" s="4" t="n">
        <v>1</v>
      </c>
      <c r="D346" s="6" t="s">
        <v>86</v>
      </c>
      <c r="E346" s="7" t="s">
        <v>525</v>
      </c>
      <c r="F346" s="7" t="s">
        <v>183</v>
      </c>
      <c r="G346" s="4" t="n">
        <v>0</v>
      </c>
    </row>
    <row r="347" customFormat="false" ht="15" hidden="false" customHeight="false" outlineLevel="0" collapsed="false">
      <c r="A347" s="6"/>
      <c r="B347" s="7"/>
      <c r="C347" s="4" t="n">
        <v>2</v>
      </c>
      <c r="D347" s="6" t="s">
        <v>86</v>
      </c>
      <c r="E347" s="7" t="s">
        <v>238</v>
      </c>
      <c r="F347" s="7" t="s">
        <v>183</v>
      </c>
      <c r="G347" s="4" t="n">
        <v>0</v>
      </c>
    </row>
    <row r="348" customFormat="false" ht="15" hidden="false" customHeight="false" outlineLevel="0" collapsed="false">
      <c r="A348" s="6"/>
      <c r="B348" s="7"/>
      <c r="C348" s="4" t="n">
        <v>3</v>
      </c>
      <c r="D348" s="6" t="s">
        <v>86</v>
      </c>
      <c r="E348" s="7" t="s">
        <v>526</v>
      </c>
      <c r="F348" s="7" t="s">
        <v>183</v>
      </c>
      <c r="G348" s="4" t="n">
        <v>0</v>
      </c>
    </row>
    <row r="349" customFormat="false" ht="15" hidden="false" customHeight="false" outlineLevel="0" collapsed="false">
      <c r="A349" s="6"/>
      <c r="B349" s="7"/>
      <c r="C349" s="4" t="n">
        <v>4</v>
      </c>
      <c r="D349" s="6" t="s">
        <v>186</v>
      </c>
      <c r="E349" s="7" t="s">
        <v>527</v>
      </c>
      <c r="F349" s="7" t="s">
        <v>188</v>
      </c>
      <c r="G349" s="4" t="n">
        <v>10</v>
      </c>
    </row>
    <row r="350" customFormat="false" ht="15" hidden="false" customHeight="false" outlineLevel="0" collapsed="false">
      <c r="A350" s="6"/>
      <c r="B350" s="7"/>
      <c r="C350" s="4" t="n">
        <v>5</v>
      </c>
      <c r="D350" s="6" t="s">
        <v>186</v>
      </c>
      <c r="E350" s="7" t="s">
        <v>528</v>
      </c>
      <c r="F350" s="7" t="s">
        <v>188</v>
      </c>
      <c r="G350" s="4" t="n">
        <v>10</v>
      </c>
    </row>
    <row r="351" customFormat="false" ht="15" hidden="false" customHeight="false" outlineLevel="0" collapsed="false">
      <c r="A351" s="6"/>
      <c r="B351" s="7"/>
      <c r="C351" s="4" t="n">
        <v>6</v>
      </c>
      <c r="D351" s="6" t="s">
        <v>186</v>
      </c>
      <c r="E351" s="7" t="s">
        <v>529</v>
      </c>
      <c r="F351" s="7" t="s">
        <v>188</v>
      </c>
      <c r="G351" s="4" t="n">
        <v>10</v>
      </c>
    </row>
    <row r="352" customFormat="false" ht="23.85" hidden="false" customHeight="false" outlineLevel="0" collapsed="false">
      <c r="A352" s="6"/>
      <c r="B352" s="7"/>
      <c r="C352" s="4" t="n">
        <v>7</v>
      </c>
      <c r="D352" s="6" t="s">
        <v>191</v>
      </c>
      <c r="E352" s="7" t="s">
        <v>530</v>
      </c>
      <c r="F352" s="7" t="s">
        <v>193</v>
      </c>
      <c r="G352" s="4" t="n">
        <v>25</v>
      </c>
    </row>
    <row r="353" customFormat="false" ht="23.85" hidden="false" customHeight="false" outlineLevel="0" collapsed="false">
      <c r="A353" s="6"/>
      <c r="B353" s="7"/>
      <c r="C353" s="4" t="n">
        <v>8</v>
      </c>
      <c r="D353" s="6" t="s">
        <v>191</v>
      </c>
      <c r="E353" s="7" t="s">
        <v>531</v>
      </c>
      <c r="F353" s="7" t="s">
        <v>193</v>
      </c>
      <c r="G353" s="4" t="n">
        <v>25</v>
      </c>
    </row>
    <row r="354" customFormat="false" ht="23.85" hidden="false" customHeight="false" outlineLevel="0" collapsed="false">
      <c r="A354" s="6"/>
      <c r="B354" s="7"/>
      <c r="C354" s="4" t="n">
        <v>9</v>
      </c>
      <c r="D354" s="6" t="s">
        <v>191</v>
      </c>
      <c r="E354" s="7" t="s">
        <v>532</v>
      </c>
      <c r="F354" s="7" t="s">
        <v>193</v>
      </c>
      <c r="G354" s="4" t="n">
        <v>25</v>
      </c>
    </row>
    <row r="355" customFormat="false" ht="23.85" hidden="false" customHeight="false" outlineLevel="0" collapsed="false">
      <c r="A355" s="6"/>
      <c r="B355" s="7"/>
      <c r="C355" s="4" t="n">
        <v>10</v>
      </c>
      <c r="D355" s="6" t="s">
        <v>191</v>
      </c>
      <c r="E355" s="7" t="s">
        <v>533</v>
      </c>
      <c r="F355" s="7" t="s">
        <v>193</v>
      </c>
      <c r="G355" s="4" t="n">
        <v>25</v>
      </c>
    </row>
    <row r="356" customFormat="false" ht="23.85" hidden="false" customHeight="false" outlineLevel="0" collapsed="false">
      <c r="A356" s="6"/>
      <c r="B356" s="7"/>
      <c r="C356" s="4" t="n">
        <v>11</v>
      </c>
      <c r="D356" s="6" t="s">
        <v>191</v>
      </c>
      <c r="E356" s="7" t="s">
        <v>534</v>
      </c>
      <c r="F356" s="7" t="s">
        <v>193</v>
      </c>
      <c r="G356" s="4" t="n">
        <v>25</v>
      </c>
    </row>
    <row r="357" customFormat="false" ht="23.85" hidden="false" customHeight="false" outlineLevel="0" collapsed="false">
      <c r="A357" s="6"/>
      <c r="B357" s="7"/>
      <c r="C357" s="4" t="n">
        <v>12</v>
      </c>
      <c r="D357" s="6" t="s">
        <v>191</v>
      </c>
      <c r="E357" s="7" t="s">
        <v>535</v>
      </c>
      <c r="F357" s="7" t="s">
        <v>193</v>
      </c>
      <c r="G357" s="4" t="n">
        <v>25</v>
      </c>
    </row>
    <row r="358" customFormat="false" ht="23.85" hidden="false" customHeight="false" outlineLevel="0" collapsed="false">
      <c r="A358" s="6"/>
      <c r="B358" s="7"/>
      <c r="C358" s="4" t="n">
        <v>13</v>
      </c>
      <c r="D358" s="6" t="s">
        <v>191</v>
      </c>
      <c r="E358" s="7" t="s">
        <v>536</v>
      </c>
      <c r="F358" s="7" t="s">
        <v>193</v>
      </c>
      <c r="G358" s="4" t="n">
        <v>25</v>
      </c>
    </row>
    <row r="359" customFormat="false" ht="23.85" hidden="false" customHeight="false" outlineLevel="0" collapsed="false">
      <c r="A359" s="6"/>
      <c r="B359" s="7"/>
      <c r="C359" s="4" t="n">
        <v>14</v>
      </c>
      <c r="D359" s="6" t="s">
        <v>191</v>
      </c>
      <c r="E359" s="7" t="s">
        <v>537</v>
      </c>
      <c r="F359" s="7" t="s">
        <v>193</v>
      </c>
      <c r="G359" s="4" t="n">
        <v>25</v>
      </c>
    </row>
    <row r="360" customFormat="false" ht="15" hidden="false" customHeight="false" outlineLevel="0" collapsed="false">
      <c r="A360" s="6"/>
      <c r="B360" s="7"/>
      <c r="C360" s="4" t="n">
        <v>15</v>
      </c>
      <c r="D360" s="6" t="s">
        <v>201</v>
      </c>
      <c r="E360" s="7" t="s">
        <v>538</v>
      </c>
      <c r="F360" s="7" t="s">
        <v>203</v>
      </c>
      <c r="G360" s="4" t="n">
        <v>70</v>
      </c>
    </row>
    <row r="361" customFormat="false" ht="15" hidden="false" customHeight="false" outlineLevel="0" collapsed="false">
      <c r="A361" s="6"/>
      <c r="B361" s="7"/>
      <c r="C361" s="4" t="n">
        <v>16</v>
      </c>
      <c r="D361" s="6" t="s">
        <v>201</v>
      </c>
      <c r="E361" s="7" t="s">
        <v>539</v>
      </c>
      <c r="F361" s="7" t="s">
        <v>203</v>
      </c>
      <c r="G361" s="4" t="n">
        <v>70</v>
      </c>
    </row>
    <row r="362" customFormat="false" ht="15" hidden="false" customHeight="false" outlineLevel="0" collapsed="false">
      <c r="A362" s="6"/>
      <c r="B362" s="7"/>
      <c r="C362" s="4" t="n">
        <v>17</v>
      </c>
      <c r="D362" s="6" t="s">
        <v>201</v>
      </c>
      <c r="E362" s="7" t="s">
        <v>540</v>
      </c>
      <c r="F362" s="7" t="s">
        <v>203</v>
      </c>
      <c r="G362" s="4" t="n">
        <v>70</v>
      </c>
    </row>
    <row r="363" customFormat="false" ht="15" hidden="false" customHeight="false" outlineLevel="0" collapsed="false">
      <c r="A363" s="6"/>
      <c r="B363" s="7"/>
      <c r="C363" s="4" t="n">
        <v>18</v>
      </c>
      <c r="D363" s="6" t="s">
        <v>201</v>
      </c>
      <c r="E363" s="7" t="s">
        <v>541</v>
      </c>
      <c r="F363" s="7" t="s">
        <v>203</v>
      </c>
      <c r="G363" s="4" t="n">
        <v>70</v>
      </c>
    </row>
    <row r="364" customFormat="false" ht="15" hidden="false" customHeight="false" outlineLevel="0" collapsed="false">
      <c r="A364" s="6"/>
      <c r="B364" s="7"/>
      <c r="C364" s="4" t="n">
        <v>19</v>
      </c>
      <c r="D364" s="6" t="s">
        <v>201</v>
      </c>
      <c r="E364" s="7" t="s">
        <v>542</v>
      </c>
      <c r="F364" s="7" t="s">
        <v>203</v>
      </c>
      <c r="G364" s="4" t="n">
        <v>70</v>
      </c>
    </row>
    <row r="365" customFormat="false" ht="15" hidden="false" customHeight="false" outlineLevel="0" collapsed="false">
      <c r="A365" s="6"/>
      <c r="B365" s="7"/>
      <c r="C365" s="4" t="n">
        <v>20</v>
      </c>
      <c r="D365" s="6" t="s">
        <v>201</v>
      </c>
      <c r="E365" s="7" t="s">
        <v>543</v>
      </c>
      <c r="F365" s="7" t="s">
        <v>203</v>
      </c>
      <c r="G365" s="4" t="n">
        <v>70</v>
      </c>
    </row>
    <row r="366" customFormat="false" ht="15" hidden="false" customHeight="false" outlineLevel="0" collapsed="false">
      <c r="A366" s="6"/>
      <c r="B366" s="7"/>
      <c r="C366" s="4" t="n">
        <v>21</v>
      </c>
      <c r="D366" s="6" t="s">
        <v>201</v>
      </c>
      <c r="E366" s="7" t="s">
        <v>544</v>
      </c>
      <c r="F366" s="7" t="s">
        <v>203</v>
      </c>
      <c r="G366" s="4" t="n">
        <v>70</v>
      </c>
    </row>
    <row r="367" customFormat="false" ht="15" hidden="false" customHeight="false" outlineLevel="0" collapsed="false">
      <c r="A367" s="6"/>
      <c r="B367" s="7"/>
      <c r="C367" s="4" t="n">
        <v>22</v>
      </c>
      <c r="D367" s="6" t="s">
        <v>201</v>
      </c>
      <c r="E367" s="7" t="s">
        <v>545</v>
      </c>
      <c r="F367" s="7" t="s">
        <v>203</v>
      </c>
      <c r="G367" s="4" t="n">
        <v>70</v>
      </c>
    </row>
    <row r="368" customFormat="false" ht="15" hidden="false" customHeight="false" outlineLevel="0" collapsed="false">
      <c r="A368" s="6"/>
      <c r="B368" s="7"/>
      <c r="C368" s="4" t="n">
        <v>23</v>
      </c>
      <c r="D368" s="6" t="s">
        <v>211</v>
      </c>
      <c r="E368" s="7" t="s">
        <v>546</v>
      </c>
      <c r="F368" s="7" t="s">
        <v>213</v>
      </c>
      <c r="G368" s="4" t="n">
        <v>100</v>
      </c>
    </row>
    <row r="369" customFormat="false" ht="15" hidden="false" customHeight="false" outlineLevel="0" collapsed="false">
      <c r="A369" s="6"/>
      <c r="B369" s="7"/>
      <c r="C369" s="4" t="n">
        <v>24</v>
      </c>
      <c r="D369" s="6" t="s">
        <v>211</v>
      </c>
      <c r="E369" s="7" t="s">
        <v>547</v>
      </c>
      <c r="F369" s="7" t="s">
        <v>213</v>
      </c>
      <c r="G369" s="4" t="n">
        <v>100</v>
      </c>
    </row>
    <row r="370" customFormat="false" ht="15" hidden="false" customHeight="false" outlineLevel="0" collapsed="false">
      <c r="A370" s="6"/>
      <c r="B370" s="7"/>
      <c r="C370" s="4" t="n">
        <v>25</v>
      </c>
      <c r="D370" s="6" t="s">
        <v>211</v>
      </c>
      <c r="E370" s="7" t="s">
        <v>548</v>
      </c>
      <c r="F370" s="7" t="s">
        <v>213</v>
      </c>
      <c r="G370" s="4" t="n">
        <v>100</v>
      </c>
    </row>
    <row r="371" customFormat="false" ht="15" hidden="false" customHeight="false" outlineLevel="0" collapsed="false">
      <c r="A371" s="6"/>
      <c r="B371" s="7"/>
      <c r="C371" s="4" t="n">
        <v>26</v>
      </c>
      <c r="D371" s="6" t="s">
        <v>211</v>
      </c>
      <c r="E371" s="7" t="s">
        <v>549</v>
      </c>
      <c r="F371" s="7" t="s">
        <v>213</v>
      </c>
      <c r="G371" s="4" t="n">
        <v>100</v>
      </c>
    </row>
    <row r="372" customFormat="false" ht="15" hidden="false" customHeight="false" outlineLevel="0" collapsed="false">
      <c r="A372" s="6"/>
      <c r="B372" s="7"/>
      <c r="C372" s="4" t="n">
        <v>27</v>
      </c>
      <c r="D372" s="6" t="s">
        <v>211</v>
      </c>
      <c r="E372" s="7" t="s">
        <v>550</v>
      </c>
      <c r="F372" s="7" t="s">
        <v>213</v>
      </c>
      <c r="G372" s="4" t="n">
        <v>100</v>
      </c>
    </row>
    <row r="373" customFormat="false" ht="15" hidden="false" customHeight="false" outlineLevel="0" collapsed="false">
      <c r="A373" s="6"/>
      <c r="B373" s="7"/>
      <c r="C373" s="4" t="n">
        <v>28</v>
      </c>
      <c r="D373" s="6" t="s">
        <v>211</v>
      </c>
      <c r="E373" s="7" t="s">
        <v>551</v>
      </c>
      <c r="F373" s="7" t="s">
        <v>213</v>
      </c>
      <c r="G373" s="4" t="n">
        <v>100</v>
      </c>
    </row>
    <row r="374" customFormat="false" ht="15" hidden="false" customHeight="false" outlineLevel="0" collapsed="false">
      <c r="A374" s="6"/>
      <c r="B374" s="7"/>
      <c r="C374" s="4" t="n">
        <v>29</v>
      </c>
      <c r="D374" s="6" t="s">
        <v>211</v>
      </c>
      <c r="E374" s="7" t="s">
        <v>552</v>
      </c>
      <c r="F374" s="7" t="s">
        <v>213</v>
      </c>
      <c r="G374" s="4" t="n">
        <v>100</v>
      </c>
    </row>
    <row r="375" customFormat="false" ht="15" hidden="false" customHeight="false" outlineLevel="0" collapsed="false">
      <c r="A375" s="6"/>
      <c r="B375" s="7"/>
      <c r="C375" s="4" t="n">
        <v>30</v>
      </c>
      <c r="D375" s="6" t="s">
        <v>211</v>
      </c>
      <c r="E375" s="7" t="s">
        <v>553</v>
      </c>
      <c r="F375" s="7" t="s">
        <v>213</v>
      </c>
      <c r="G375" s="4" t="n">
        <v>100</v>
      </c>
    </row>
    <row r="376" customFormat="false" ht="15" hidden="false" customHeight="false" outlineLevel="0" collapsed="false">
      <c r="A376" s="6"/>
      <c r="B376" s="7"/>
      <c r="C376" s="4" t="n">
        <v>31</v>
      </c>
      <c r="D376" s="6" t="s">
        <v>221</v>
      </c>
      <c r="E376" s="7" t="s">
        <v>554</v>
      </c>
      <c r="F376" s="7" t="s">
        <v>223</v>
      </c>
      <c r="G376" s="4" t="n">
        <v>125</v>
      </c>
    </row>
    <row r="377" customFormat="false" ht="15" hidden="false" customHeight="false" outlineLevel="0" collapsed="false">
      <c r="A377" s="6"/>
      <c r="B377" s="7"/>
      <c r="C377" s="4" t="n">
        <v>32</v>
      </c>
      <c r="D377" s="6" t="s">
        <v>221</v>
      </c>
      <c r="E377" s="7" t="s">
        <v>555</v>
      </c>
      <c r="F377" s="7" t="s">
        <v>223</v>
      </c>
      <c r="G377" s="4" t="n">
        <v>125</v>
      </c>
    </row>
    <row r="378" customFormat="false" ht="15" hidden="false" customHeight="false" outlineLevel="0" collapsed="false">
      <c r="A378" s="6"/>
      <c r="B378" s="7"/>
      <c r="C378" s="4" t="n">
        <v>33</v>
      </c>
      <c r="D378" s="6" t="s">
        <v>221</v>
      </c>
      <c r="E378" s="7" t="s">
        <v>420</v>
      </c>
      <c r="F378" s="7" t="s">
        <v>223</v>
      </c>
      <c r="G378" s="4" t="n">
        <v>125</v>
      </c>
    </row>
    <row r="379" customFormat="false" ht="15" hidden="false" customHeight="false" outlineLevel="0" collapsed="false">
      <c r="A379" s="6"/>
      <c r="B379" s="7"/>
      <c r="C379" s="4" t="n">
        <v>34</v>
      </c>
      <c r="D379" s="6" t="s">
        <v>221</v>
      </c>
      <c r="E379" s="7" t="s">
        <v>556</v>
      </c>
      <c r="F379" s="7" t="s">
        <v>223</v>
      </c>
      <c r="G379" s="4" t="n">
        <v>125</v>
      </c>
    </row>
    <row r="380" customFormat="false" ht="15" hidden="false" customHeight="false" outlineLevel="0" collapsed="false">
      <c r="A380" s="6"/>
      <c r="B380" s="7"/>
      <c r="C380" s="4" t="n">
        <v>35</v>
      </c>
      <c r="D380" s="6" t="s">
        <v>227</v>
      </c>
      <c r="E380" s="7" t="s">
        <v>557</v>
      </c>
      <c r="F380" s="7" t="s">
        <v>229</v>
      </c>
      <c r="G380" s="4" t="n">
        <v>165</v>
      </c>
    </row>
    <row r="381" customFormat="false" ht="15" hidden="false" customHeight="false" outlineLevel="0" collapsed="false">
      <c r="A381" s="6"/>
      <c r="B381" s="7"/>
      <c r="C381" s="4" t="n">
        <v>36</v>
      </c>
      <c r="D381" s="6" t="s">
        <v>227</v>
      </c>
      <c r="E381" s="7" t="s">
        <v>558</v>
      </c>
      <c r="F381" s="7" t="s">
        <v>229</v>
      </c>
      <c r="G381" s="4" t="n">
        <v>165</v>
      </c>
    </row>
    <row r="382" customFormat="false" ht="15" hidden="false" customHeight="false" outlineLevel="0" collapsed="false">
      <c r="A382" s="6"/>
      <c r="B382" s="7"/>
      <c r="C382" s="4" t="n">
        <v>37</v>
      </c>
      <c r="D382" s="6" t="s">
        <v>227</v>
      </c>
      <c r="E382" s="7" t="s">
        <v>559</v>
      </c>
      <c r="F382" s="7" t="s">
        <v>229</v>
      </c>
      <c r="G382" s="4" t="n">
        <v>165</v>
      </c>
    </row>
    <row r="383" customFormat="false" ht="15" hidden="false" customHeight="false" outlineLevel="0" collapsed="false">
      <c r="A383" s="6"/>
      <c r="B383" s="7"/>
      <c r="C383" s="4" t="n">
        <v>38</v>
      </c>
      <c r="D383" s="6" t="s">
        <v>227</v>
      </c>
      <c r="E383" s="7" t="s">
        <v>560</v>
      </c>
      <c r="F383" s="7" t="s">
        <v>229</v>
      </c>
      <c r="G383" s="4" t="n">
        <v>165</v>
      </c>
    </row>
    <row r="384" customFormat="false" ht="23.85" hidden="false" customHeight="false" outlineLevel="0" collapsed="false">
      <c r="A384" s="6"/>
      <c r="B384" s="7"/>
      <c r="C384" s="4" t="n">
        <v>39</v>
      </c>
      <c r="D384" s="6" t="s">
        <v>233</v>
      </c>
      <c r="E384" s="7" t="s">
        <v>561</v>
      </c>
      <c r="F384" s="7" t="s">
        <v>235</v>
      </c>
      <c r="G384" s="4" t="n">
        <v>175</v>
      </c>
    </row>
    <row r="385" customFormat="false" ht="23.85" hidden="false" customHeight="false" outlineLevel="0" collapsed="false">
      <c r="A385" s="6"/>
      <c r="B385" s="7"/>
      <c r="C385" s="4" t="n">
        <v>40</v>
      </c>
      <c r="D385" s="6" t="s">
        <v>233</v>
      </c>
      <c r="E385" s="7" t="s">
        <v>276</v>
      </c>
      <c r="F385" s="7" t="s">
        <v>235</v>
      </c>
      <c r="G385" s="4" t="n">
        <v>175</v>
      </c>
    </row>
    <row r="386" customFormat="false" ht="23.85" hidden="false" customHeight="false" outlineLevel="0" collapsed="false">
      <c r="A386" s="10" t="n">
        <v>12</v>
      </c>
      <c r="B386" s="11" t="s">
        <v>43</v>
      </c>
      <c r="C386" s="8" t="n">
        <v>1</v>
      </c>
      <c r="D386" s="10" t="s">
        <v>86</v>
      </c>
      <c r="E386" s="11" t="s">
        <v>562</v>
      </c>
      <c r="F386" s="11" t="s">
        <v>183</v>
      </c>
      <c r="G386" s="8" t="n">
        <v>0</v>
      </c>
    </row>
    <row r="387" customFormat="false" ht="15" hidden="false" customHeight="false" outlineLevel="0" collapsed="false">
      <c r="A387" s="10"/>
      <c r="B387" s="11"/>
      <c r="C387" s="8" t="n">
        <v>2</v>
      </c>
      <c r="D387" s="10" t="s">
        <v>86</v>
      </c>
      <c r="E387" s="11" t="s">
        <v>238</v>
      </c>
      <c r="F387" s="11" t="s">
        <v>183</v>
      </c>
      <c r="G387" s="8" t="n">
        <v>0</v>
      </c>
    </row>
    <row r="388" customFormat="false" ht="15" hidden="false" customHeight="false" outlineLevel="0" collapsed="false">
      <c r="A388" s="10"/>
      <c r="B388" s="11"/>
      <c r="C388" s="8" t="n">
        <v>3</v>
      </c>
      <c r="D388" s="10" t="s">
        <v>86</v>
      </c>
      <c r="E388" s="11" t="s">
        <v>563</v>
      </c>
      <c r="F388" s="11" t="s">
        <v>183</v>
      </c>
      <c r="G388" s="8" t="n">
        <v>0</v>
      </c>
    </row>
    <row r="389" customFormat="false" ht="15" hidden="false" customHeight="false" outlineLevel="0" collapsed="false">
      <c r="A389" s="10"/>
      <c r="B389" s="11"/>
      <c r="C389" s="8" t="n">
        <v>4</v>
      </c>
      <c r="D389" s="10" t="s">
        <v>186</v>
      </c>
      <c r="E389" s="11" t="s">
        <v>564</v>
      </c>
      <c r="F389" s="11" t="s">
        <v>188</v>
      </c>
      <c r="G389" s="8" t="n">
        <v>10</v>
      </c>
    </row>
    <row r="390" customFormat="false" ht="15" hidden="false" customHeight="false" outlineLevel="0" collapsed="false">
      <c r="A390" s="10"/>
      <c r="B390" s="11"/>
      <c r="C390" s="8" t="n">
        <v>5</v>
      </c>
      <c r="D390" s="10" t="s">
        <v>186</v>
      </c>
      <c r="E390" s="11" t="s">
        <v>565</v>
      </c>
      <c r="F390" s="11" t="s">
        <v>188</v>
      </c>
      <c r="G390" s="8" t="n">
        <v>10</v>
      </c>
    </row>
    <row r="391" customFormat="false" ht="15" hidden="false" customHeight="false" outlineLevel="0" collapsed="false">
      <c r="A391" s="10"/>
      <c r="B391" s="11"/>
      <c r="C391" s="8" t="n">
        <v>6</v>
      </c>
      <c r="D391" s="10" t="s">
        <v>186</v>
      </c>
      <c r="E391" s="11" t="s">
        <v>566</v>
      </c>
      <c r="F391" s="11" t="s">
        <v>188</v>
      </c>
      <c r="G391" s="8" t="n">
        <v>10</v>
      </c>
    </row>
    <row r="392" customFormat="false" ht="23.85" hidden="false" customHeight="false" outlineLevel="0" collapsed="false">
      <c r="A392" s="10"/>
      <c r="B392" s="11"/>
      <c r="C392" s="8" t="n">
        <v>7</v>
      </c>
      <c r="D392" s="10" t="s">
        <v>191</v>
      </c>
      <c r="E392" s="11" t="s">
        <v>567</v>
      </c>
      <c r="F392" s="11" t="s">
        <v>193</v>
      </c>
      <c r="G392" s="8" t="n">
        <v>25</v>
      </c>
    </row>
    <row r="393" customFormat="false" ht="23.85" hidden="false" customHeight="false" outlineLevel="0" collapsed="false">
      <c r="A393" s="10"/>
      <c r="B393" s="11"/>
      <c r="C393" s="8" t="n">
        <v>8</v>
      </c>
      <c r="D393" s="10" t="s">
        <v>191</v>
      </c>
      <c r="E393" s="11" t="s">
        <v>568</v>
      </c>
      <c r="F393" s="11" t="s">
        <v>193</v>
      </c>
      <c r="G393" s="8" t="n">
        <v>25</v>
      </c>
    </row>
    <row r="394" customFormat="false" ht="23.85" hidden="false" customHeight="false" outlineLevel="0" collapsed="false">
      <c r="A394" s="10"/>
      <c r="B394" s="11"/>
      <c r="C394" s="8" t="n">
        <v>9</v>
      </c>
      <c r="D394" s="10" t="s">
        <v>191</v>
      </c>
      <c r="E394" s="11" t="s">
        <v>569</v>
      </c>
      <c r="F394" s="11" t="s">
        <v>193</v>
      </c>
      <c r="G394" s="8" t="n">
        <v>25</v>
      </c>
    </row>
    <row r="395" customFormat="false" ht="23.85" hidden="false" customHeight="false" outlineLevel="0" collapsed="false">
      <c r="A395" s="10"/>
      <c r="B395" s="11"/>
      <c r="C395" s="8" t="n">
        <v>10</v>
      </c>
      <c r="D395" s="10" t="s">
        <v>191</v>
      </c>
      <c r="E395" s="11" t="s">
        <v>570</v>
      </c>
      <c r="F395" s="11" t="s">
        <v>193</v>
      </c>
      <c r="G395" s="8" t="n">
        <v>25</v>
      </c>
    </row>
    <row r="396" customFormat="false" ht="23.85" hidden="false" customHeight="false" outlineLevel="0" collapsed="false">
      <c r="A396" s="10"/>
      <c r="B396" s="11"/>
      <c r="C396" s="8" t="n">
        <v>11</v>
      </c>
      <c r="D396" s="10" t="s">
        <v>191</v>
      </c>
      <c r="E396" s="11" t="s">
        <v>571</v>
      </c>
      <c r="F396" s="11" t="s">
        <v>193</v>
      </c>
      <c r="G396" s="8" t="n">
        <v>25</v>
      </c>
    </row>
    <row r="397" customFormat="false" ht="23.85" hidden="false" customHeight="false" outlineLevel="0" collapsed="false">
      <c r="A397" s="10"/>
      <c r="B397" s="11"/>
      <c r="C397" s="8" t="n">
        <v>12</v>
      </c>
      <c r="D397" s="10" t="s">
        <v>191</v>
      </c>
      <c r="E397" s="11" t="s">
        <v>572</v>
      </c>
      <c r="F397" s="11" t="s">
        <v>193</v>
      </c>
      <c r="G397" s="8" t="n">
        <v>25</v>
      </c>
    </row>
    <row r="398" customFormat="false" ht="23.85" hidden="false" customHeight="false" outlineLevel="0" collapsed="false">
      <c r="A398" s="10"/>
      <c r="B398" s="11"/>
      <c r="C398" s="8" t="n">
        <v>13</v>
      </c>
      <c r="D398" s="10" t="s">
        <v>191</v>
      </c>
      <c r="E398" s="11" t="s">
        <v>573</v>
      </c>
      <c r="F398" s="11" t="s">
        <v>193</v>
      </c>
      <c r="G398" s="8" t="n">
        <v>25</v>
      </c>
    </row>
    <row r="399" customFormat="false" ht="23.85" hidden="false" customHeight="false" outlineLevel="0" collapsed="false">
      <c r="A399" s="10"/>
      <c r="B399" s="11"/>
      <c r="C399" s="8" t="n">
        <v>14</v>
      </c>
      <c r="D399" s="10" t="s">
        <v>191</v>
      </c>
      <c r="E399" s="11" t="s">
        <v>574</v>
      </c>
      <c r="F399" s="11" t="s">
        <v>193</v>
      </c>
      <c r="G399" s="8" t="n">
        <v>25</v>
      </c>
    </row>
    <row r="400" customFormat="false" ht="15" hidden="false" customHeight="false" outlineLevel="0" collapsed="false">
      <c r="A400" s="10"/>
      <c r="B400" s="11"/>
      <c r="C400" s="8" t="n">
        <v>15</v>
      </c>
      <c r="D400" s="10" t="s">
        <v>201</v>
      </c>
      <c r="E400" s="11" t="s">
        <v>575</v>
      </c>
      <c r="F400" s="11" t="s">
        <v>203</v>
      </c>
      <c r="G400" s="8" t="n">
        <v>70</v>
      </c>
    </row>
    <row r="401" customFormat="false" ht="15" hidden="false" customHeight="false" outlineLevel="0" collapsed="false">
      <c r="A401" s="10"/>
      <c r="B401" s="11"/>
      <c r="C401" s="8" t="n">
        <v>16</v>
      </c>
      <c r="D401" s="10" t="s">
        <v>201</v>
      </c>
      <c r="E401" s="11" t="s">
        <v>576</v>
      </c>
      <c r="F401" s="11" t="s">
        <v>203</v>
      </c>
      <c r="G401" s="8" t="n">
        <v>70</v>
      </c>
    </row>
    <row r="402" customFormat="false" ht="15" hidden="false" customHeight="false" outlineLevel="0" collapsed="false">
      <c r="A402" s="10"/>
      <c r="B402" s="11"/>
      <c r="C402" s="8" t="n">
        <v>17</v>
      </c>
      <c r="D402" s="10" t="s">
        <v>201</v>
      </c>
      <c r="E402" s="11" t="s">
        <v>577</v>
      </c>
      <c r="F402" s="11" t="s">
        <v>203</v>
      </c>
      <c r="G402" s="8" t="n">
        <v>70</v>
      </c>
    </row>
    <row r="403" customFormat="false" ht="15" hidden="false" customHeight="false" outlineLevel="0" collapsed="false">
      <c r="A403" s="10"/>
      <c r="B403" s="11"/>
      <c r="C403" s="8" t="n">
        <v>18</v>
      </c>
      <c r="D403" s="10" t="s">
        <v>201</v>
      </c>
      <c r="E403" s="11" t="s">
        <v>578</v>
      </c>
      <c r="F403" s="11" t="s">
        <v>203</v>
      </c>
      <c r="G403" s="8" t="n">
        <v>70</v>
      </c>
    </row>
    <row r="404" customFormat="false" ht="15" hidden="false" customHeight="false" outlineLevel="0" collapsed="false">
      <c r="A404" s="10"/>
      <c r="B404" s="11"/>
      <c r="C404" s="8" t="n">
        <v>19</v>
      </c>
      <c r="D404" s="10" t="s">
        <v>201</v>
      </c>
      <c r="E404" s="11" t="s">
        <v>579</v>
      </c>
      <c r="F404" s="11" t="s">
        <v>203</v>
      </c>
      <c r="G404" s="8" t="n">
        <v>70</v>
      </c>
    </row>
    <row r="405" customFormat="false" ht="15" hidden="false" customHeight="false" outlineLevel="0" collapsed="false">
      <c r="A405" s="10"/>
      <c r="B405" s="11"/>
      <c r="C405" s="8" t="n">
        <v>20</v>
      </c>
      <c r="D405" s="10" t="s">
        <v>201</v>
      </c>
      <c r="E405" s="11" t="s">
        <v>580</v>
      </c>
      <c r="F405" s="11" t="s">
        <v>203</v>
      </c>
      <c r="G405" s="8" t="n">
        <v>70</v>
      </c>
    </row>
    <row r="406" customFormat="false" ht="15" hidden="false" customHeight="false" outlineLevel="0" collapsed="false">
      <c r="A406" s="10"/>
      <c r="B406" s="11"/>
      <c r="C406" s="8" t="n">
        <v>21</v>
      </c>
      <c r="D406" s="10" t="s">
        <v>201</v>
      </c>
      <c r="E406" s="11" t="s">
        <v>581</v>
      </c>
      <c r="F406" s="11" t="s">
        <v>203</v>
      </c>
      <c r="G406" s="8" t="n">
        <v>70</v>
      </c>
    </row>
    <row r="407" customFormat="false" ht="15" hidden="false" customHeight="false" outlineLevel="0" collapsed="false">
      <c r="A407" s="10"/>
      <c r="B407" s="11"/>
      <c r="C407" s="8" t="n">
        <v>22</v>
      </c>
      <c r="D407" s="10" t="s">
        <v>201</v>
      </c>
      <c r="E407" s="11" t="s">
        <v>582</v>
      </c>
      <c r="F407" s="11" t="s">
        <v>203</v>
      </c>
      <c r="G407" s="8" t="n">
        <v>70</v>
      </c>
    </row>
    <row r="408" customFormat="false" ht="15" hidden="false" customHeight="false" outlineLevel="0" collapsed="false">
      <c r="A408" s="10"/>
      <c r="B408" s="11"/>
      <c r="C408" s="8" t="n">
        <v>23</v>
      </c>
      <c r="D408" s="10" t="s">
        <v>211</v>
      </c>
      <c r="E408" s="11" t="s">
        <v>583</v>
      </c>
      <c r="F408" s="11" t="s">
        <v>213</v>
      </c>
      <c r="G408" s="8" t="n">
        <v>100</v>
      </c>
    </row>
    <row r="409" customFormat="false" ht="15" hidden="false" customHeight="false" outlineLevel="0" collapsed="false">
      <c r="A409" s="10"/>
      <c r="B409" s="11"/>
      <c r="C409" s="8" t="n">
        <v>24</v>
      </c>
      <c r="D409" s="10" t="s">
        <v>211</v>
      </c>
      <c r="E409" s="11" t="s">
        <v>584</v>
      </c>
      <c r="F409" s="11" t="s">
        <v>213</v>
      </c>
      <c r="G409" s="8" t="n">
        <v>100</v>
      </c>
    </row>
    <row r="410" customFormat="false" ht="15" hidden="false" customHeight="false" outlineLevel="0" collapsed="false">
      <c r="A410" s="10"/>
      <c r="B410" s="11"/>
      <c r="C410" s="8" t="n">
        <v>25</v>
      </c>
      <c r="D410" s="10" t="s">
        <v>211</v>
      </c>
      <c r="E410" s="11" t="s">
        <v>585</v>
      </c>
      <c r="F410" s="11" t="s">
        <v>213</v>
      </c>
      <c r="G410" s="8" t="n">
        <v>100</v>
      </c>
    </row>
    <row r="411" customFormat="false" ht="15" hidden="false" customHeight="false" outlineLevel="0" collapsed="false">
      <c r="A411" s="10"/>
      <c r="B411" s="11"/>
      <c r="C411" s="8" t="n">
        <v>26</v>
      </c>
      <c r="D411" s="10" t="s">
        <v>211</v>
      </c>
      <c r="E411" s="11" t="s">
        <v>586</v>
      </c>
      <c r="F411" s="11" t="s">
        <v>213</v>
      </c>
      <c r="G411" s="8" t="n">
        <v>100</v>
      </c>
    </row>
    <row r="412" customFormat="false" ht="15" hidden="false" customHeight="false" outlineLevel="0" collapsed="false">
      <c r="A412" s="10"/>
      <c r="B412" s="11"/>
      <c r="C412" s="8" t="n">
        <v>27</v>
      </c>
      <c r="D412" s="10" t="s">
        <v>211</v>
      </c>
      <c r="E412" s="11" t="s">
        <v>587</v>
      </c>
      <c r="F412" s="11" t="s">
        <v>213</v>
      </c>
      <c r="G412" s="8" t="n">
        <v>100</v>
      </c>
    </row>
    <row r="413" customFormat="false" ht="23.85" hidden="false" customHeight="false" outlineLevel="0" collapsed="false">
      <c r="A413" s="10"/>
      <c r="B413" s="11"/>
      <c r="C413" s="8" t="n">
        <v>28</v>
      </c>
      <c r="D413" s="10" t="s">
        <v>211</v>
      </c>
      <c r="E413" s="11" t="s">
        <v>588</v>
      </c>
      <c r="F413" s="11" t="s">
        <v>213</v>
      </c>
      <c r="G413" s="8" t="n">
        <v>100</v>
      </c>
    </row>
    <row r="414" customFormat="false" ht="15" hidden="false" customHeight="false" outlineLevel="0" collapsed="false">
      <c r="A414" s="10"/>
      <c r="B414" s="11"/>
      <c r="C414" s="8" t="n">
        <v>29</v>
      </c>
      <c r="D414" s="10" t="s">
        <v>211</v>
      </c>
      <c r="E414" s="11" t="s">
        <v>589</v>
      </c>
      <c r="F414" s="11" t="s">
        <v>213</v>
      </c>
      <c r="G414" s="8" t="n">
        <v>100</v>
      </c>
    </row>
    <row r="415" customFormat="false" ht="15" hidden="false" customHeight="false" outlineLevel="0" collapsed="false">
      <c r="A415" s="10"/>
      <c r="B415" s="11"/>
      <c r="C415" s="8" t="n">
        <v>30</v>
      </c>
      <c r="D415" s="10" t="s">
        <v>211</v>
      </c>
      <c r="E415" s="11" t="s">
        <v>590</v>
      </c>
      <c r="F415" s="11" t="s">
        <v>213</v>
      </c>
      <c r="G415" s="8" t="n">
        <v>100</v>
      </c>
    </row>
    <row r="416" customFormat="false" ht="15" hidden="false" customHeight="false" outlineLevel="0" collapsed="false">
      <c r="A416" s="10"/>
      <c r="B416" s="11"/>
      <c r="C416" s="8" t="n">
        <v>31</v>
      </c>
      <c r="D416" s="10" t="s">
        <v>221</v>
      </c>
      <c r="E416" s="11" t="s">
        <v>591</v>
      </c>
      <c r="F416" s="11" t="s">
        <v>223</v>
      </c>
      <c r="G416" s="8" t="n">
        <v>125</v>
      </c>
    </row>
    <row r="417" customFormat="false" ht="15" hidden="false" customHeight="false" outlineLevel="0" collapsed="false">
      <c r="A417" s="10"/>
      <c r="B417" s="11"/>
      <c r="C417" s="8" t="n">
        <v>32</v>
      </c>
      <c r="D417" s="10" t="s">
        <v>221</v>
      </c>
      <c r="E417" s="11" t="s">
        <v>592</v>
      </c>
      <c r="F417" s="11" t="s">
        <v>223</v>
      </c>
      <c r="G417" s="8" t="n">
        <v>125</v>
      </c>
    </row>
    <row r="418" customFormat="false" ht="15" hidden="false" customHeight="false" outlineLevel="0" collapsed="false">
      <c r="A418" s="10"/>
      <c r="B418" s="11"/>
      <c r="C418" s="8" t="n">
        <v>33</v>
      </c>
      <c r="D418" s="10" t="s">
        <v>221</v>
      </c>
      <c r="E418" s="11" t="s">
        <v>420</v>
      </c>
      <c r="F418" s="11" t="s">
        <v>223</v>
      </c>
      <c r="G418" s="8" t="n">
        <v>125</v>
      </c>
    </row>
    <row r="419" customFormat="false" ht="15" hidden="false" customHeight="false" outlineLevel="0" collapsed="false">
      <c r="A419" s="10"/>
      <c r="B419" s="11"/>
      <c r="C419" s="8" t="n">
        <v>34</v>
      </c>
      <c r="D419" s="10" t="s">
        <v>221</v>
      </c>
      <c r="E419" s="11" t="s">
        <v>593</v>
      </c>
      <c r="F419" s="11" t="s">
        <v>223</v>
      </c>
      <c r="G419" s="8" t="n">
        <v>125</v>
      </c>
    </row>
    <row r="420" customFormat="false" ht="15" hidden="false" customHeight="false" outlineLevel="0" collapsed="false">
      <c r="A420" s="10"/>
      <c r="B420" s="11"/>
      <c r="C420" s="8" t="n">
        <v>35</v>
      </c>
      <c r="D420" s="10" t="s">
        <v>227</v>
      </c>
      <c r="E420" s="11" t="s">
        <v>594</v>
      </c>
      <c r="F420" s="11" t="s">
        <v>229</v>
      </c>
      <c r="G420" s="8" t="n">
        <v>165</v>
      </c>
    </row>
    <row r="421" customFormat="false" ht="15" hidden="false" customHeight="false" outlineLevel="0" collapsed="false">
      <c r="A421" s="10"/>
      <c r="B421" s="11"/>
      <c r="C421" s="8" t="n">
        <v>36</v>
      </c>
      <c r="D421" s="10" t="s">
        <v>227</v>
      </c>
      <c r="E421" s="11" t="s">
        <v>595</v>
      </c>
      <c r="F421" s="11" t="s">
        <v>229</v>
      </c>
      <c r="G421" s="8" t="n">
        <v>165</v>
      </c>
    </row>
    <row r="422" customFormat="false" ht="15" hidden="false" customHeight="false" outlineLevel="0" collapsed="false">
      <c r="A422" s="10"/>
      <c r="B422" s="11"/>
      <c r="C422" s="8" t="n">
        <v>37</v>
      </c>
      <c r="D422" s="10" t="s">
        <v>227</v>
      </c>
      <c r="E422" s="11" t="s">
        <v>596</v>
      </c>
      <c r="F422" s="11" t="s">
        <v>229</v>
      </c>
      <c r="G422" s="8" t="n">
        <v>165</v>
      </c>
    </row>
    <row r="423" customFormat="false" ht="15" hidden="false" customHeight="false" outlineLevel="0" collapsed="false">
      <c r="A423" s="10"/>
      <c r="B423" s="11"/>
      <c r="C423" s="8" t="n">
        <v>38</v>
      </c>
      <c r="D423" s="10" t="s">
        <v>227</v>
      </c>
      <c r="E423" s="11" t="s">
        <v>597</v>
      </c>
      <c r="F423" s="11" t="s">
        <v>229</v>
      </c>
      <c r="G423" s="8" t="n">
        <v>165</v>
      </c>
    </row>
    <row r="424" customFormat="false" ht="23.85" hidden="false" customHeight="false" outlineLevel="0" collapsed="false">
      <c r="A424" s="10"/>
      <c r="B424" s="11"/>
      <c r="C424" s="8" t="n">
        <v>39</v>
      </c>
      <c r="D424" s="10" t="s">
        <v>233</v>
      </c>
      <c r="E424" s="11" t="s">
        <v>598</v>
      </c>
      <c r="F424" s="11" t="s">
        <v>235</v>
      </c>
      <c r="G424" s="8" t="n">
        <v>175</v>
      </c>
    </row>
    <row r="425" customFormat="false" ht="23.85" hidden="false" customHeight="false" outlineLevel="0" collapsed="false">
      <c r="A425" s="10"/>
      <c r="B425" s="11"/>
      <c r="C425" s="8" t="n">
        <v>40</v>
      </c>
      <c r="D425" s="10" t="s">
        <v>233</v>
      </c>
      <c r="E425" s="11" t="s">
        <v>276</v>
      </c>
      <c r="F425" s="11" t="s">
        <v>235</v>
      </c>
      <c r="G425" s="8" t="n">
        <v>175</v>
      </c>
    </row>
    <row r="426" customFormat="false" ht="23.85" hidden="false" customHeight="false" outlineLevel="0" collapsed="false">
      <c r="A426" s="6" t="n">
        <v>13</v>
      </c>
      <c r="B426" s="7" t="s">
        <v>46</v>
      </c>
      <c r="C426" s="4" t="n">
        <v>1</v>
      </c>
      <c r="D426" s="6" t="s">
        <v>86</v>
      </c>
      <c r="E426" s="7" t="s">
        <v>599</v>
      </c>
      <c r="F426" s="7" t="s">
        <v>183</v>
      </c>
      <c r="G426" s="4" t="n">
        <v>0</v>
      </c>
    </row>
    <row r="427" customFormat="false" ht="15" hidden="false" customHeight="false" outlineLevel="0" collapsed="false">
      <c r="A427" s="6"/>
      <c r="B427" s="7"/>
      <c r="C427" s="4" t="n">
        <v>2</v>
      </c>
      <c r="D427" s="6" t="s">
        <v>86</v>
      </c>
      <c r="E427" s="7" t="s">
        <v>238</v>
      </c>
      <c r="F427" s="7" t="s">
        <v>183</v>
      </c>
      <c r="G427" s="4" t="n">
        <v>0</v>
      </c>
    </row>
    <row r="428" customFormat="false" ht="15" hidden="false" customHeight="false" outlineLevel="0" collapsed="false">
      <c r="A428" s="6"/>
      <c r="B428" s="7"/>
      <c r="C428" s="4" t="n">
        <v>3</v>
      </c>
      <c r="D428" s="6" t="s">
        <v>86</v>
      </c>
      <c r="E428" s="7" t="s">
        <v>600</v>
      </c>
      <c r="F428" s="7" t="s">
        <v>183</v>
      </c>
      <c r="G428" s="4" t="n">
        <v>0</v>
      </c>
    </row>
    <row r="429" customFormat="false" ht="15" hidden="false" customHeight="false" outlineLevel="0" collapsed="false">
      <c r="A429" s="6"/>
      <c r="B429" s="7"/>
      <c r="C429" s="4" t="n">
        <v>4</v>
      </c>
      <c r="D429" s="6" t="s">
        <v>186</v>
      </c>
      <c r="E429" s="7" t="s">
        <v>601</v>
      </c>
      <c r="F429" s="7" t="s">
        <v>188</v>
      </c>
      <c r="G429" s="4" t="n">
        <v>10</v>
      </c>
    </row>
    <row r="430" customFormat="false" ht="15" hidden="false" customHeight="false" outlineLevel="0" collapsed="false">
      <c r="A430" s="6"/>
      <c r="B430" s="7"/>
      <c r="C430" s="4" t="n">
        <v>5</v>
      </c>
      <c r="D430" s="6" t="s">
        <v>186</v>
      </c>
      <c r="E430" s="7" t="s">
        <v>602</v>
      </c>
      <c r="F430" s="7" t="s">
        <v>188</v>
      </c>
      <c r="G430" s="4" t="n">
        <v>10</v>
      </c>
    </row>
    <row r="431" customFormat="false" ht="15" hidden="false" customHeight="false" outlineLevel="0" collapsed="false">
      <c r="A431" s="6"/>
      <c r="B431" s="7"/>
      <c r="C431" s="4" t="n">
        <v>6</v>
      </c>
      <c r="D431" s="6" t="s">
        <v>186</v>
      </c>
      <c r="E431" s="7" t="s">
        <v>603</v>
      </c>
      <c r="F431" s="7" t="s">
        <v>188</v>
      </c>
      <c r="G431" s="4" t="n">
        <v>10</v>
      </c>
    </row>
    <row r="432" customFormat="false" ht="23.85" hidden="false" customHeight="false" outlineLevel="0" collapsed="false">
      <c r="A432" s="6"/>
      <c r="B432" s="7"/>
      <c r="C432" s="4" t="n">
        <v>7</v>
      </c>
      <c r="D432" s="6" t="s">
        <v>191</v>
      </c>
      <c r="E432" s="7" t="s">
        <v>604</v>
      </c>
      <c r="F432" s="7" t="s">
        <v>193</v>
      </c>
      <c r="G432" s="4" t="n">
        <v>25</v>
      </c>
    </row>
    <row r="433" customFormat="false" ht="23.85" hidden="false" customHeight="false" outlineLevel="0" collapsed="false">
      <c r="A433" s="6"/>
      <c r="B433" s="7"/>
      <c r="C433" s="4" t="n">
        <v>8</v>
      </c>
      <c r="D433" s="6" t="s">
        <v>191</v>
      </c>
      <c r="E433" s="7" t="s">
        <v>605</v>
      </c>
      <c r="F433" s="7" t="s">
        <v>193</v>
      </c>
      <c r="G433" s="4" t="n">
        <v>25</v>
      </c>
    </row>
    <row r="434" customFormat="false" ht="23.85" hidden="false" customHeight="false" outlineLevel="0" collapsed="false">
      <c r="A434" s="6"/>
      <c r="B434" s="7"/>
      <c r="C434" s="4" t="n">
        <v>9</v>
      </c>
      <c r="D434" s="6" t="s">
        <v>191</v>
      </c>
      <c r="E434" s="7" t="s">
        <v>606</v>
      </c>
      <c r="F434" s="7" t="s">
        <v>193</v>
      </c>
      <c r="G434" s="4" t="n">
        <v>25</v>
      </c>
    </row>
    <row r="435" customFormat="false" ht="23.85" hidden="false" customHeight="false" outlineLevel="0" collapsed="false">
      <c r="A435" s="6"/>
      <c r="B435" s="7"/>
      <c r="C435" s="4" t="n">
        <v>10</v>
      </c>
      <c r="D435" s="6" t="s">
        <v>191</v>
      </c>
      <c r="E435" s="7" t="s">
        <v>607</v>
      </c>
      <c r="F435" s="7" t="s">
        <v>193</v>
      </c>
      <c r="G435" s="4" t="n">
        <v>25</v>
      </c>
    </row>
    <row r="436" customFormat="false" ht="23.85" hidden="false" customHeight="false" outlineLevel="0" collapsed="false">
      <c r="A436" s="6"/>
      <c r="B436" s="7"/>
      <c r="C436" s="4" t="n">
        <v>11</v>
      </c>
      <c r="D436" s="6" t="s">
        <v>191</v>
      </c>
      <c r="E436" s="7" t="s">
        <v>608</v>
      </c>
      <c r="F436" s="7" t="s">
        <v>193</v>
      </c>
      <c r="G436" s="4" t="n">
        <v>25</v>
      </c>
    </row>
    <row r="437" customFormat="false" ht="23.85" hidden="false" customHeight="false" outlineLevel="0" collapsed="false">
      <c r="A437" s="6"/>
      <c r="B437" s="7"/>
      <c r="C437" s="4" t="n">
        <v>12</v>
      </c>
      <c r="D437" s="6" t="s">
        <v>191</v>
      </c>
      <c r="E437" s="7" t="s">
        <v>609</v>
      </c>
      <c r="F437" s="7" t="s">
        <v>193</v>
      </c>
      <c r="G437" s="4" t="n">
        <v>25</v>
      </c>
    </row>
    <row r="438" customFormat="false" ht="23.85" hidden="false" customHeight="false" outlineLevel="0" collapsed="false">
      <c r="A438" s="6"/>
      <c r="B438" s="7"/>
      <c r="C438" s="4" t="n">
        <v>13</v>
      </c>
      <c r="D438" s="6" t="s">
        <v>191</v>
      </c>
      <c r="E438" s="7" t="s">
        <v>610</v>
      </c>
      <c r="F438" s="7" t="s">
        <v>193</v>
      </c>
      <c r="G438" s="4" t="n">
        <v>25</v>
      </c>
    </row>
    <row r="439" customFormat="false" ht="23.85" hidden="false" customHeight="false" outlineLevel="0" collapsed="false">
      <c r="A439" s="6"/>
      <c r="B439" s="7"/>
      <c r="C439" s="4" t="n">
        <v>14</v>
      </c>
      <c r="D439" s="6" t="s">
        <v>191</v>
      </c>
      <c r="E439" s="7" t="s">
        <v>611</v>
      </c>
      <c r="F439" s="7" t="s">
        <v>193</v>
      </c>
      <c r="G439" s="4" t="n">
        <v>25</v>
      </c>
    </row>
    <row r="440" customFormat="false" ht="15" hidden="false" customHeight="false" outlineLevel="0" collapsed="false">
      <c r="A440" s="6"/>
      <c r="B440" s="7"/>
      <c r="C440" s="4" t="n">
        <v>15</v>
      </c>
      <c r="D440" s="6" t="s">
        <v>201</v>
      </c>
      <c r="E440" s="7" t="s">
        <v>612</v>
      </c>
      <c r="F440" s="7" t="s">
        <v>203</v>
      </c>
      <c r="G440" s="4" t="n">
        <v>70</v>
      </c>
    </row>
    <row r="441" customFormat="false" ht="15" hidden="false" customHeight="false" outlineLevel="0" collapsed="false">
      <c r="A441" s="6"/>
      <c r="B441" s="7"/>
      <c r="C441" s="4" t="n">
        <v>16</v>
      </c>
      <c r="D441" s="6" t="s">
        <v>201</v>
      </c>
      <c r="E441" s="7" t="s">
        <v>613</v>
      </c>
      <c r="F441" s="7" t="s">
        <v>203</v>
      </c>
      <c r="G441" s="4" t="n">
        <v>70</v>
      </c>
    </row>
    <row r="442" customFormat="false" ht="15" hidden="false" customHeight="false" outlineLevel="0" collapsed="false">
      <c r="A442" s="6"/>
      <c r="B442" s="7"/>
      <c r="C442" s="4" t="n">
        <v>17</v>
      </c>
      <c r="D442" s="6" t="s">
        <v>201</v>
      </c>
      <c r="E442" s="7" t="s">
        <v>614</v>
      </c>
      <c r="F442" s="7" t="s">
        <v>203</v>
      </c>
      <c r="G442" s="4" t="n">
        <v>70</v>
      </c>
    </row>
    <row r="443" customFormat="false" ht="15" hidden="false" customHeight="false" outlineLevel="0" collapsed="false">
      <c r="A443" s="6"/>
      <c r="B443" s="7"/>
      <c r="C443" s="4" t="n">
        <v>18</v>
      </c>
      <c r="D443" s="6" t="s">
        <v>201</v>
      </c>
      <c r="E443" s="7" t="s">
        <v>615</v>
      </c>
      <c r="F443" s="7" t="s">
        <v>203</v>
      </c>
      <c r="G443" s="4" t="n">
        <v>70</v>
      </c>
    </row>
    <row r="444" customFormat="false" ht="15" hidden="false" customHeight="false" outlineLevel="0" collapsed="false">
      <c r="A444" s="6"/>
      <c r="B444" s="7"/>
      <c r="C444" s="4" t="n">
        <v>19</v>
      </c>
      <c r="D444" s="6" t="s">
        <v>201</v>
      </c>
      <c r="E444" s="7" t="s">
        <v>616</v>
      </c>
      <c r="F444" s="7" t="s">
        <v>203</v>
      </c>
      <c r="G444" s="4" t="n">
        <v>70</v>
      </c>
    </row>
    <row r="445" customFormat="false" ht="15" hidden="false" customHeight="false" outlineLevel="0" collapsed="false">
      <c r="A445" s="6"/>
      <c r="B445" s="7"/>
      <c r="C445" s="4" t="n">
        <v>20</v>
      </c>
      <c r="D445" s="6" t="s">
        <v>201</v>
      </c>
      <c r="E445" s="7" t="s">
        <v>617</v>
      </c>
      <c r="F445" s="7" t="s">
        <v>203</v>
      </c>
      <c r="G445" s="4" t="n">
        <v>70</v>
      </c>
    </row>
    <row r="446" customFormat="false" ht="15" hidden="false" customHeight="false" outlineLevel="0" collapsed="false">
      <c r="A446" s="6"/>
      <c r="B446" s="7"/>
      <c r="C446" s="4" t="n">
        <v>21</v>
      </c>
      <c r="D446" s="6" t="s">
        <v>201</v>
      </c>
      <c r="E446" s="7" t="s">
        <v>618</v>
      </c>
      <c r="F446" s="7" t="s">
        <v>203</v>
      </c>
      <c r="G446" s="4" t="n">
        <v>70</v>
      </c>
    </row>
    <row r="447" customFormat="false" ht="15" hidden="false" customHeight="false" outlineLevel="0" collapsed="false">
      <c r="A447" s="6"/>
      <c r="B447" s="7"/>
      <c r="C447" s="4" t="n">
        <v>22</v>
      </c>
      <c r="D447" s="6" t="s">
        <v>201</v>
      </c>
      <c r="E447" s="7" t="s">
        <v>619</v>
      </c>
      <c r="F447" s="7" t="s">
        <v>203</v>
      </c>
      <c r="G447" s="4" t="n">
        <v>70</v>
      </c>
    </row>
    <row r="448" customFormat="false" ht="15" hidden="false" customHeight="false" outlineLevel="0" collapsed="false">
      <c r="A448" s="6"/>
      <c r="B448" s="7"/>
      <c r="C448" s="4" t="n">
        <v>23</v>
      </c>
      <c r="D448" s="6" t="s">
        <v>211</v>
      </c>
      <c r="E448" s="7" t="s">
        <v>620</v>
      </c>
      <c r="F448" s="7" t="s">
        <v>213</v>
      </c>
      <c r="G448" s="4" t="n">
        <v>100</v>
      </c>
    </row>
    <row r="449" customFormat="false" ht="15" hidden="false" customHeight="false" outlineLevel="0" collapsed="false">
      <c r="A449" s="6"/>
      <c r="B449" s="7"/>
      <c r="C449" s="4" t="n">
        <v>24</v>
      </c>
      <c r="D449" s="6" t="s">
        <v>211</v>
      </c>
      <c r="E449" s="7" t="s">
        <v>621</v>
      </c>
      <c r="F449" s="7" t="s">
        <v>213</v>
      </c>
      <c r="G449" s="4" t="n">
        <v>100</v>
      </c>
    </row>
    <row r="450" customFormat="false" ht="15" hidden="false" customHeight="false" outlineLevel="0" collapsed="false">
      <c r="A450" s="6"/>
      <c r="B450" s="7"/>
      <c r="C450" s="4" t="n">
        <v>25</v>
      </c>
      <c r="D450" s="6" t="s">
        <v>211</v>
      </c>
      <c r="E450" s="7" t="s">
        <v>622</v>
      </c>
      <c r="F450" s="7" t="s">
        <v>213</v>
      </c>
      <c r="G450" s="4" t="n">
        <v>100</v>
      </c>
    </row>
    <row r="451" customFormat="false" ht="15" hidden="false" customHeight="false" outlineLevel="0" collapsed="false">
      <c r="A451" s="6"/>
      <c r="B451" s="7"/>
      <c r="C451" s="4" t="n">
        <v>26</v>
      </c>
      <c r="D451" s="6" t="s">
        <v>211</v>
      </c>
      <c r="E451" s="7" t="s">
        <v>623</v>
      </c>
      <c r="F451" s="7" t="s">
        <v>213</v>
      </c>
      <c r="G451" s="4" t="n">
        <v>100</v>
      </c>
    </row>
    <row r="452" customFormat="false" ht="15" hidden="false" customHeight="false" outlineLevel="0" collapsed="false">
      <c r="A452" s="6"/>
      <c r="B452" s="7"/>
      <c r="C452" s="4" t="n">
        <v>27</v>
      </c>
      <c r="D452" s="6" t="s">
        <v>211</v>
      </c>
      <c r="E452" s="7" t="s">
        <v>624</v>
      </c>
      <c r="F452" s="7" t="s">
        <v>213</v>
      </c>
      <c r="G452" s="4" t="n">
        <v>100</v>
      </c>
    </row>
    <row r="453" customFormat="false" ht="15" hidden="false" customHeight="false" outlineLevel="0" collapsed="false">
      <c r="A453" s="6"/>
      <c r="B453" s="7"/>
      <c r="C453" s="4" t="n">
        <v>28</v>
      </c>
      <c r="D453" s="6" t="s">
        <v>211</v>
      </c>
      <c r="E453" s="7" t="s">
        <v>625</v>
      </c>
      <c r="F453" s="7" t="s">
        <v>213</v>
      </c>
      <c r="G453" s="4" t="n">
        <v>100</v>
      </c>
    </row>
    <row r="454" customFormat="false" ht="15" hidden="false" customHeight="false" outlineLevel="0" collapsed="false">
      <c r="A454" s="6"/>
      <c r="B454" s="7"/>
      <c r="C454" s="4" t="n">
        <v>29</v>
      </c>
      <c r="D454" s="6" t="s">
        <v>211</v>
      </c>
      <c r="E454" s="7" t="s">
        <v>626</v>
      </c>
      <c r="F454" s="7" t="s">
        <v>213</v>
      </c>
      <c r="G454" s="4" t="n">
        <v>100</v>
      </c>
    </row>
    <row r="455" customFormat="false" ht="15" hidden="false" customHeight="false" outlineLevel="0" collapsed="false">
      <c r="A455" s="6"/>
      <c r="B455" s="7"/>
      <c r="C455" s="4" t="n">
        <v>30</v>
      </c>
      <c r="D455" s="6" t="s">
        <v>211</v>
      </c>
      <c r="E455" s="7" t="s">
        <v>627</v>
      </c>
      <c r="F455" s="7" t="s">
        <v>213</v>
      </c>
      <c r="G455" s="4" t="n">
        <v>100</v>
      </c>
    </row>
    <row r="456" customFormat="false" ht="15" hidden="false" customHeight="false" outlineLevel="0" collapsed="false">
      <c r="A456" s="6"/>
      <c r="B456" s="7"/>
      <c r="C456" s="4" t="n">
        <v>31</v>
      </c>
      <c r="D456" s="6" t="s">
        <v>221</v>
      </c>
      <c r="E456" s="7" t="s">
        <v>628</v>
      </c>
      <c r="F456" s="7" t="s">
        <v>223</v>
      </c>
      <c r="G456" s="4" t="n">
        <v>125</v>
      </c>
    </row>
    <row r="457" customFormat="false" ht="15" hidden="false" customHeight="false" outlineLevel="0" collapsed="false">
      <c r="A457" s="6"/>
      <c r="B457" s="7"/>
      <c r="C457" s="4" t="n">
        <v>32</v>
      </c>
      <c r="D457" s="6" t="s">
        <v>221</v>
      </c>
      <c r="E457" s="7" t="s">
        <v>629</v>
      </c>
      <c r="F457" s="7" t="s">
        <v>223</v>
      </c>
      <c r="G457" s="4" t="n">
        <v>125</v>
      </c>
    </row>
    <row r="458" customFormat="false" ht="15" hidden="false" customHeight="false" outlineLevel="0" collapsed="false">
      <c r="A458" s="6"/>
      <c r="B458" s="7"/>
      <c r="C458" s="4" t="n">
        <v>33</v>
      </c>
      <c r="D458" s="6" t="s">
        <v>221</v>
      </c>
      <c r="E458" s="7" t="s">
        <v>420</v>
      </c>
      <c r="F458" s="7" t="s">
        <v>223</v>
      </c>
      <c r="G458" s="4" t="n">
        <v>125</v>
      </c>
    </row>
    <row r="459" customFormat="false" ht="15" hidden="false" customHeight="false" outlineLevel="0" collapsed="false">
      <c r="A459" s="6"/>
      <c r="B459" s="7"/>
      <c r="C459" s="4" t="n">
        <v>34</v>
      </c>
      <c r="D459" s="6" t="s">
        <v>221</v>
      </c>
      <c r="E459" s="7" t="s">
        <v>630</v>
      </c>
      <c r="F459" s="7" t="s">
        <v>223</v>
      </c>
      <c r="G459" s="4" t="n">
        <v>125</v>
      </c>
    </row>
    <row r="460" customFormat="false" ht="15" hidden="false" customHeight="false" outlineLevel="0" collapsed="false">
      <c r="A460" s="6"/>
      <c r="B460" s="7"/>
      <c r="C460" s="4" t="n">
        <v>35</v>
      </c>
      <c r="D460" s="6" t="s">
        <v>227</v>
      </c>
      <c r="E460" s="7" t="s">
        <v>631</v>
      </c>
      <c r="F460" s="7" t="s">
        <v>229</v>
      </c>
      <c r="G460" s="4" t="n">
        <v>165</v>
      </c>
    </row>
    <row r="461" customFormat="false" ht="15" hidden="false" customHeight="false" outlineLevel="0" collapsed="false">
      <c r="A461" s="6"/>
      <c r="B461" s="7"/>
      <c r="C461" s="4" t="n">
        <v>36</v>
      </c>
      <c r="D461" s="6" t="s">
        <v>227</v>
      </c>
      <c r="E461" s="7" t="s">
        <v>632</v>
      </c>
      <c r="F461" s="7" t="s">
        <v>229</v>
      </c>
      <c r="G461" s="4" t="n">
        <v>165</v>
      </c>
    </row>
    <row r="462" customFormat="false" ht="15" hidden="false" customHeight="false" outlineLevel="0" collapsed="false">
      <c r="A462" s="6"/>
      <c r="B462" s="7"/>
      <c r="C462" s="4" t="n">
        <v>37</v>
      </c>
      <c r="D462" s="6" t="s">
        <v>227</v>
      </c>
      <c r="E462" s="7" t="s">
        <v>633</v>
      </c>
      <c r="F462" s="7" t="s">
        <v>229</v>
      </c>
      <c r="G462" s="4" t="n">
        <v>165</v>
      </c>
    </row>
    <row r="463" customFormat="false" ht="15" hidden="false" customHeight="false" outlineLevel="0" collapsed="false">
      <c r="A463" s="6"/>
      <c r="B463" s="7"/>
      <c r="C463" s="4" t="n">
        <v>38</v>
      </c>
      <c r="D463" s="6" t="s">
        <v>227</v>
      </c>
      <c r="E463" s="7" t="s">
        <v>634</v>
      </c>
      <c r="F463" s="7" t="s">
        <v>229</v>
      </c>
      <c r="G463" s="4" t="n">
        <v>165</v>
      </c>
    </row>
    <row r="464" customFormat="false" ht="23.85" hidden="false" customHeight="false" outlineLevel="0" collapsed="false">
      <c r="A464" s="6"/>
      <c r="B464" s="7"/>
      <c r="C464" s="4" t="n">
        <v>39</v>
      </c>
      <c r="D464" s="6" t="s">
        <v>233</v>
      </c>
      <c r="E464" s="7" t="s">
        <v>635</v>
      </c>
      <c r="F464" s="7" t="s">
        <v>235</v>
      </c>
      <c r="G464" s="4" t="n">
        <v>175</v>
      </c>
    </row>
    <row r="465" customFormat="false" ht="23.85" hidden="false" customHeight="false" outlineLevel="0" collapsed="false">
      <c r="A465" s="6"/>
      <c r="B465" s="7"/>
      <c r="C465" s="4" t="n">
        <v>40</v>
      </c>
      <c r="D465" s="6" t="s">
        <v>233</v>
      </c>
      <c r="E465" s="7" t="s">
        <v>276</v>
      </c>
      <c r="F465" s="7" t="s">
        <v>235</v>
      </c>
      <c r="G465" s="4" t="n">
        <v>175</v>
      </c>
    </row>
    <row r="466" customFormat="false" ht="23.85" hidden="false" customHeight="false" outlineLevel="0" collapsed="false">
      <c r="A466" s="10" t="n">
        <v>14</v>
      </c>
      <c r="B466" s="11" t="s">
        <v>48</v>
      </c>
      <c r="C466" s="8" t="n">
        <v>1</v>
      </c>
      <c r="D466" s="10" t="s">
        <v>86</v>
      </c>
      <c r="E466" s="11" t="s">
        <v>636</v>
      </c>
      <c r="F466" s="11" t="s">
        <v>183</v>
      </c>
      <c r="G466" s="8" t="n">
        <v>0</v>
      </c>
    </row>
    <row r="467" customFormat="false" ht="15" hidden="false" customHeight="false" outlineLevel="0" collapsed="false">
      <c r="A467" s="10"/>
      <c r="B467" s="11"/>
      <c r="C467" s="8" t="n">
        <v>2</v>
      </c>
      <c r="D467" s="10" t="s">
        <v>86</v>
      </c>
      <c r="E467" s="11" t="s">
        <v>238</v>
      </c>
      <c r="F467" s="11" t="s">
        <v>183</v>
      </c>
      <c r="G467" s="8" t="n">
        <v>0</v>
      </c>
    </row>
    <row r="468" customFormat="false" ht="15" hidden="false" customHeight="false" outlineLevel="0" collapsed="false">
      <c r="A468" s="10"/>
      <c r="B468" s="11"/>
      <c r="C468" s="8" t="n">
        <v>3</v>
      </c>
      <c r="D468" s="10" t="s">
        <v>86</v>
      </c>
      <c r="E468" s="11" t="s">
        <v>637</v>
      </c>
      <c r="F468" s="11" t="s">
        <v>183</v>
      </c>
      <c r="G468" s="8" t="n">
        <v>0</v>
      </c>
    </row>
    <row r="469" customFormat="false" ht="15" hidden="false" customHeight="false" outlineLevel="0" collapsed="false">
      <c r="A469" s="10"/>
      <c r="B469" s="11"/>
      <c r="C469" s="8" t="n">
        <v>4</v>
      </c>
      <c r="D469" s="10" t="s">
        <v>186</v>
      </c>
      <c r="E469" s="11" t="s">
        <v>638</v>
      </c>
      <c r="F469" s="11" t="s">
        <v>188</v>
      </c>
      <c r="G469" s="8" t="n">
        <v>10</v>
      </c>
    </row>
    <row r="470" customFormat="false" ht="15" hidden="false" customHeight="false" outlineLevel="0" collapsed="false">
      <c r="A470" s="10"/>
      <c r="B470" s="11"/>
      <c r="C470" s="8" t="n">
        <v>5</v>
      </c>
      <c r="D470" s="10" t="s">
        <v>186</v>
      </c>
      <c r="E470" s="11" t="s">
        <v>639</v>
      </c>
      <c r="F470" s="11" t="s">
        <v>188</v>
      </c>
      <c r="G470" s="8" t="n">
        <v>10</v>
      </c>
    </row>
    <row r="471" customFormat="false" ht="15" hidden="false" customHeight="false" outlineLevel="0" collapsed="false">
      <c r="A471" s="10"/>
      <c r="B471" s="11"/>
      <c r="C471" s="8" t="n">
        <v>6</v>
      </c>
      <c r="D471" s="10" t="s">
        <v>186</v>
      </c>
      <c r="E471" s="11" t="s">
        <v>640</v>
      </c>
      <c r="F471" s="11" t="s">
        <v>188</v>
      </c>
      <c r="G471" s="8" t="n">
        <v>10</v>
      </c>
    </row>
    <row r="472" customFormat="false" ht="23.85" hidden="false" customHeight="false" outlineLevel="0" collapsed="false">
      <c r="A472" s="10"/>
      <c r="B472" s="11"/>
      <c r="C472" s="8" t="n">
        <v>7</v>
      </c>
      <c r="D472" s="10" t="s">
        <v>191</v>
      </c>
      <c r="E472" s="11" t="s">
        <v>641</v>
      </c>
      <c r="F472" s="11" t="s">
        <v>193</v>
      </c>
      <c r="G472" s="8" t="n">
        <v>25</v>
      </c>
    </row>
    <row r="473" customFormat="false" ht="23.85" hidden="false" customHeight="false" outlineLevel="0" collapsed="false">
      <c r="A473" s="10"/>
      <c r="B473" s="11"/>
      <c r="C473" s="8" t="n">
        <v>8</v>
      </c>
      <c r="D473" s="10" t="s">
        <v>191</v>
      </c>
      <c r="E473" s="11" t="s">
        <v>642</v>
      </c>
      <c r="F473" s="11" t="s">
        <v>193</v>
      </c>
      <c r="G473" s="8" t="n">
        <v>25</v>
      </c>
    </row>
    <row r="474" customFormat="false" ht="23.85" hidden="false" customHeight="false" outlineLevel="0" collapsed="false">
      <c r="A474" s="10"/>
      <c r="B474" s="11"/>
      <c r="C474" s="8" t="n">
        <v>9</v>
      </c>
      <c r="D474" s="10" t="s">
        <v>191</v>
      </c>
      <c r="E474" s="11" t="s">
        <v>643</v>
      </c>
      <c r="F474" s="11" t="s">
        <v>193</v>
      </c>
      <c r="G474" s="8" t="n">
        <v>25</v>
      </c>
    </row>
    <row r="475" customFormat="false" ht="23.85" hidden="false" customHeight="false" outlineLevel="0" collapsed="false">
      <c r="A475" s="10"/>
      <c r="B475" s="11"/>
      <c r="C475" s="8" t="n">
        <v>10</v>
      </c>
      <c r="D475" s="10" t="s">
        <v>191</v>
      </c>
      <c r="E475" s="11" t="s">
        <v>644</v>
      </c>
      <c r="F475" s="11" t="s">
        <v>193</v>
      </c>
      <c r="G475" s="8" t="n">
        <v>25</v>
      </c>
    </row>
    <row r="476" customFormat="false" ht="23.85" hidden="false" customHeight="false" outlineLevel="0" collapsed="false">
      <c r="A476" s="10"/>
      <c r="B476" s="11"/>
      <c r="C476" s="8" t="n">
        <v>11</v>
      </c>
      <c r="D476" s="10" t="s">
        <v>191</v>
      </c>
      <c r="E476" s="11" t="s">
        <v>645</v>
      </c>
      <c r="F476" s="11" t="s">
        <v>193</v>
      </c>
      <c r="G476" s="8" t="n">
        <v>25</v>
      </c>
    </row>
    <row r="477" customFormat="false" ht="23.85" hidden="false" customHeight="false" outlineLevel="0" collapsed="false">
      <c r="A477" s="10"/>
      <c r="B477" s="11"/>
      <c r="C477" s="8" t="n">
        <v>12</v>
      </c>
      <c r="D477" s="10" t="s">
        <v>191</v>
      </c>
      <c r="E477" s="11" t="s">
        <v>646</v>
      </c>
      <c r="F477" s="11" t="s">
        <v>193</v>
      </c>
      <c r="G477" s="8" t="n">
        <v>25</v>
      </c>
    </row>
    <row r="478" customFormat="false" ht="23.85" hidden="false" customHeight="false" outlineLevel="0" collapsed="false">
      <c r="A478" s="10"/>
      <c r="B478" s="11"/>
      <c r="C478" s="8" t="n">
        <v>13</v>
      </c>
      <c r="D478" s="10" t="s">
        <v>191</v>
      </c>
      <c r="E478" s="11" t="s">
        <v>647</v>
      </c>
      <c r="F478" s="11" t="s">
        <v>193</v>
      </c>
      <c r="G478" s="8" t="n">
        <v>25</v>
      </c>
    </row>
    <row r="479" customFormat="false" ht="23.85" hidden="false" customHeight="false" outlineLevel="0" collapsed="false">
      <c r="A479" s="10"/>
      <c r="B479" s="11"/>
      <c r="C479" s="8" t="n">
        <v>14</v>
      </c>
      <c r="D479" s="10" t="s">
        <v>191</v>
      </c>
      <c r="E479" s="11" t="s">
        <v>648</v>
      </c>
      <c r="F479" s="11" t="s">
        <v>193</v>
      </c>
      <c r="G479" s="8" t="n">
        <v>25</v>
      </c>
    </row>
    <row r="480" customFormat="false" ht="15" hidden="false" customHeight="false" outlineLevel="0" collapsed="false">
      <c r="A480" s="10"/>
      <c r="B480" s="11"/>
      <c r="C480" s="8" t="n">
        <v>15</v>
      </c>
      <c r="D480" s="10" t="s">
        <v>201</v>
      </c>
      <c r="E480" s="11" t="s">
        <v>649</v>
      </c>
      <c r="F480" s="11" t="s">
        <v>203</v>
      </c>
      <c r="G480" s="8" t="n">
        <v>70</v>
      </c>
    </row>
    <row r="481" customFormat="false" ht="15" hidden="false" customHeight="false" outlineLevel="0" collapsed="false">
      <c r="A481" s="10"/>
      <c r="B481" s="11"/>
      <c r="C481" s="8" t="n">
        <v>16</v>
      </c>
      <c r="D481" s="10" t="s">
        <v>201</v>
      </c>
      <c r="E481" s="11" t="s">
        <v>650</v>
      </c>
      <c r="F481" s="11" t="s">
        <v>203</v>
      </c>
      <c r="G481" s="8" t="n">
        <v>70</v>
      </c>
    </row>
    <row r="482" customFormat="false" ht="15" hidden="false" customHeight="false" outlineLevel="0" collapsed="false">
      <c r="A482" s="10"/>
      <c r="B482" s="11"/>
      <c r="C482" s="8" t="n">
        <v>17</v>
      </c>
      <c r="D482" s="10" t="s">
        <v>201</v>
      </c>
      <c r="E482" s="11" t="s">
        <v>651</v>
      </c>
      <c r="F482" s="11" t="s">
        <v>203</v>
      </c>
      <c r="G482" s="8" t="n">
        <v>70</v>
      </c>
    </row>
    <row r="483" customFormat="false" ht="15" hidden="false" customHeight="false" outlineLevel="0" collapsed="false">
      <c r="A483" s="10"/>
      <c r="B483" s="11"/>
      <c r="C483" s="8" t="n">
        <v>18</v>
      </c>
      <c r="D483" s="10" t="s">
        <v>201</v>
      </c>
      <c r="E483" s="11" t="s">
        <v>652</v>
      </c>
      <c r="F483" s="11" t="s">
        <v>203</v>
      </c>
      <c r="G483" s="8" t="n">
        <v>70</v>
      </c>
    </row>
    <row r="484" customFormat="false" ht="15" hidden="false" customHeight="false" outlineLevel="0" collapsed="false">
      <c r="A484" s="10"/>
      <c r="B484" s="11"/>
      <c r="C484" s="8" t="n">
        <v>19</v>
      </c>
      <c r="D484" s="10" t="s">
        <v>201</v>
      </c>
      <c r="E484" s="11" t="s">
        <v>653</v>
      </c>
      <c r="F484" s="11" t="s">
        <v>203</v>
      </c>
      <c r="G484" s="8" t="n">
        <v>70</v>
      </c>
    </row>
    <row r="485" customFormat="false" ht="15" hidden="false" customHeight="false" outlineLevel="0" collapsed="false">
      <c r="A485" s="10"/>
      <c r="B485" s="11"/>
      <c r="C485" s="8" t="n">
        <v>20</v>
      </c>
      <c r="D485" s="10" t="s">
        <v>201</v>
      </c>
      <c r="E485" s="11" t="s">
        <v>654</v>
      </c>
      <c r="F485" s="11" t="s">
        <v>203</v>
      </c>
      <c r="G485" s="8" t="n">
        <v>70</v>
      </c>
    </row>
    <row r="486" customFormat="false" ht="15" hidden="false" customHeight="false" outlineLevel="0" collapsed="false">
      <c r="A486" s="10"/>
      <c r="B486" s="11"/>
      <c r="C486" s="8" t="n">
        <v>21</v>
      </c>
      <c r="D486" s="10" t="s">
        <v>201</v>
      </c>
      <c r="E486" s="11" t="s">
        <v>655</v>
      </c>
      <c r="F486" s="11" t="s">
        <v>203</v>
      </c>
      <c r="G486" s="8" t="n">
        <v>70</v>
      </c>
    </row>
    <row r="487" customFormat="false" ht="15" hidden="false" customHeight="false" outlineLevel="0" collapsed="false">
      <c r="A487" s="10"/>
      <c r="B487" s="11"/>
      <c r="C487" s="8" t="n">
        <v>22</v>
      </c>
      <c r="D487" s="10" t="s">
        <v>201</v>
      </c>
      <c r="E487" s="11" t="s">
        <v>656</v>
      </c>
      <c r="F487" s="11" t="s">
        <v>203</v>
      </c>
      <c r="G487" s="8" t="n">
        <v>70</v>
      </c>
    </row>
    <row r="488" customFormat="false" ht="15" hidden="false" customHeight="false" outlineLevel="0" collapsed="false">
      <c r="A488" s="10"/>
      <c r="B488" s="11"/>
      <c r="C488" s="8" t="n">
        <v>23</v>
      </c>
      <c r="D488" s="10" t="s">
        <v>211</v>
      </c>
      <c r="E488" s="11" t="s">
        <v>657</v>
      </c>
      <c r="F488" s="11" t="s">
        <v>213</v>
      </c>
      <c r="G488" s="8" t="n">
        <v>100</v>
      </c>
    </row>
    <row r="489" customFormat="false" ht="15" hidden="false" customHeight="false" outlineLevel="0" collapsed="false">
      <c r="A489" s="10"/>
      <c r="B489" s="11"/>
      <c r="C489" s="8" t="n">
        <v>24</v>
      </c>
      <c r="D489" s="10" t="s">
        <v>211</v>
      </c>
      <c r="E489" s="11" t="s">
        <v>658</v>
      </c>
      <c r="F489" s="11" t="s">
        <v>213</v>
      </c>
      <c r="G489" s="8" t="n">
        <v>100</v>
      </c>
    </row>
    <row r="490" customFormat="false" ht="15" hidden="false" customHeight="false" outlineLevel="0" collapsed="false">
      <c r="A490" s="10"/>
      <c r="B490" s="11"/>
      <c r="C490" s="8" t="n">
        <v>25</v>
      </c>
      <c r="D490" s="10" t="s">
        <v>211</v>
      </c>
      <c r="E490" s="11" t="s">
        <v>659</v>
      </c>
      <c r="F490" s="11" t="s">
        <v>213</v>
      </c>
      <c r="G490" s="8" t="n">
        <v>100</v>
      </c>
    </row>
    <row r="491" customFormat="false" ht="15" hidden="false" customHeight="false" outlineLevel="0" collapsed="false">
      <c r="A491" s="10"/>
      <c r="B491" s="11"/>
      <c r="C491" s="8" t="n">
        <v>26</v>
      </c>
      <c r="D491" s="10" t="s">
        <v>211</v>
      </c>
      <c r="E491" s="11" t="s">
        <v>660</v>
      </c>
      <c r="F491" s="11" t="s">
        <v>213</v>
      </c>
      <c r="G491" s="8" t="n">
        <v>100</v>
      </c>
    </row>
    <row r="492" customFormat="false" ht="15" hidden="false" customHeight="false" outlineLevel="0" collapsed="false">
      <c r="A492" s="10"/>
      <c r="B492" s="11"/>
      <c r="C492" s="8" t="n">
        <v>27</v>
      </c>
      <c r="D492" s="10" t="s">
        <v>211</v>
      </c>
      <c r="E492" s="11" t="s">
        <v>661</v>
      </c>
      <c r="F492" s="11" t="s">
        <v>213</v>
      </c>
      <c r="G492" s="8" t="n">
        <v>100</v>
      </c>
    </row>
    <row r="493" customFormat="false" ht="15" hidden="false" customHeight="false" outlineLevel="0" collapsed="false">
      <c r="A493" s="10"/>
      <c r="B493" s="11"/>
      <c r="C493" s="8" t="n">
        <v>28</v>
      </c>
      <c r="D493" s="10" t="s">
        <v>211</v>
      </c>
      <c r="E493" s="11" t="s">
        <v>662</v>
      </c>
      <c r="F493" s="11" t="s">
        <v>213</v>
      </c>
      <c r="G493" s="8" t="n">
        <v>100</v>
      </c>
    </row>
    <row r="494" customFormat="false" ht="15" hidden="false" customHeight="false" outlineLevel="0" collapsed="false">
      <c r="A494" s="10"/>
      <c r="B494" s="11"/>
      <c r="C494" s="8" t="n">
        <v>29</v>
      </c>
      <c r="D494" s="10" t="s">
        <v>211</v>
      </c>
      <c r="E494" s="11" t="s">
        <v>663</v>
      </c>
      <c r="F494" s="11" t="s">
        <v>213</v>
      </c>
      <c r="G494" s="8" t="n">
        <v>100</v>
      </c>
    </row>
    <row r="495" customFormat="false" ht="15" hidden="false" customHeight="false" outlineLevel="0" collapsed="false">
      <c r="A495" s="10"/>
      <c r="B495" s="11"/>
      <c r="C495" s="8" t="n">
        <v>30</v>
      </c>
      <c r="D495" s="10" t="s">
        <v>211</v>
      </c>
      <c r="E495" s="11" t="s">
        <v>664</v>
      </c>
      <c r="F495" s="11" t="s">
        <v>213</v>
      </c>
      <c r="G495" s="8" t="n">
        <v>100</v>
      </c>
    </row>
    <row r="496" customFormat="false" ht="15" hidden="false" customHeight="false" outlineLevel="0" collapsed="false">
      <c r="A496" s="10"/>
      <c r="B496" s="11"/>
      <c r="C496" s="8" t="n">
        <v>31</v>
      </c>
      <c r="D496" s="10" t="s">
        <v>221</v>
      </c>
      <c r="E496" s="11" t="s">
        <v>665</v>
      </c>
      <c r="F496" s="11" t="s">
        <v>223</v>
      </c>
      <c r="G496" s="8" t="n">
        <v>125</v>
      </c>
    </row>
    <row r="497" customFormat="false" ht="15" hidden="false" customHeight="false" outlineLevel="0" collapsed="false">
      <c r="A497" s="10"/>
      <c r="B497" s="11"/>
      <c r="C497" s="8" t="n">
        <v>32</v>
      </c>
      <c r="D497" s="10" t="s">
        <v>221</v>
      </c>
      <c r="E497" s="11" t="s">
        <v>666</v>
      </c>
      <c r="F497" s="11" t="s">
        <v>223</v>
      </c>
      <c r="G497" s="8" t="n">
        <v>125</v>
      </c>
    </row>
    <row r="498" customFormat="false" ht="15" hidden="false" customHeight="false" outlineLevel="0" collapsed="false">
      <c r="A498" s="10"/>
      <c r="B498" s="11"/>
      <c r="C498" s="8" t="n">
        <v>33</v>
      </c>
      <c r="D498" s="10" t="s">
        <v>221</v>
      </c>
      <c r="E498" s="11" t="s">
        <v>420</v>
      </c>
      <c r="F498" s="11" t="s">
        <v>223</v>
      </c>
      <c r="G498" s="8" t="n">
        <v>125</v>
      </c>
    </row>
    <row r="499" customFormat="false" ht="15" hidden="false" customHeight="false" outlineLevel="0" collapsed="false">
      <c r="A499" s="10"/>
      <c r="B499" s="11"/>
      <c r="C499" s="8" t="n">
        <v>34</v>
      </c>
      <c r="D499" s="10" t="s">
        <v>221</v>
      </c>
      <c r="E499" s="11" t="s">
        <v>667</v>
      </c>
      <c r="F499" s="11" t="s">
        <v>223</v>
      </c>
      <c r="G499" s="8" t="n">
        <v>125</v>
      </c>
    </row>
    <row r="500" customFormat="false" ht="15" hidden="false" customHeight="false" outlineLevel="0" collapsed="false">
      <c r="A500" s="10"/>
      <c r="B500" s="11"/>
      <c r="C500" s="8" t="n">
        <v>35</v>
      </c>
      <c r="D500" s="10" t="s">
        <v>227</v>
      </c>
      <c r="E500" s="11" t="s">
        <v>668</v>
      </c>
      <c r="F500" s="11" t="s">
        <v>229</v>
      </c>
      <c r="G500" s="8" t="n">
        <v>165</v>
      </c>
    </row>
    <row r="501" customFormat="false" ht="15" hidden="false" customHeight="false" outlineLevel="0" collapsed="false">
      <c r="A501" s="10"/>
      <c r="B501" s="11"/>
      <c r="C501" s="8" t="n">
        <v>36</v>
      </c>
      <c r="D501" s="10" t="s">
        <v>227</v>
      </c>
      <c r="E501" s="11" t="s">
        <v>669</v>
      </c>
      <c r="F501" s="11" t="s">
        <v>229</v>
      </c>
      <c r="G501" s="8" t="n">
        <v>165</v>
      </c>
    </row>
    <row r="502" customFormat="false" ht="15" hidden="false" customHeight="false" outlineLevel="0" collapsed="false">
      <c r="A502" s="10"/>
      <c r="B502" s="11"/>
      <c r="C502" s="8" t="n">
        <v>37</v>
      </c>
      <c r="D502" s="10" t="s">
        <v>227</v>
      </c>
      <c r="E502" s="11" t="s">
        <v>670</v>
      </c>
      <c r="F502" s="11" t="s">
        <v>229</v>
      </c>
      <c r="G502" s="8" t="n">
        <v>165</v>
      </c>
    </row>
    <row r="503" customFormat="false" ht="15" hidden="false" customHeight="false" outlineLevel="0" collapsed="false">
      <c r="A503" s="10"/>
      <c r="B503" s="11"/>
      <c r="C503" s="8" t="n">
        <v>38</v>
      </c>
      <c r="D503" s="10" t="s">
        <v>227</v>
      </c>
      <c r="E503" s="11" t="s">
        <v>671</v>
      </c>
      <c r="F503" s="11" t="s">
        <v>229</v>
      </c>
      <c r="G503" s="8" t="n">
        <v>165</v>
      </c>
    </row>
    <row r="504" customFormat="false" ht="23.85" hidden="false" customHeight="false" outlineLevel="0" collapsed="false">
      <c r="A504" s="10"/>
      <c r="B504" s="11"/>
      <c r="C504" s="8" t="n">
        <v>39</v>
      </c>
      <c r="D504" s="10" t="s">
        <v>233</v>
      </c>
      <c r="E504" s="11" t="s">
        <v>672</v>
      </c>
      <c r="F504" s="11" t="s">
        <v>235</v>
      </c>
      <c r="G504" s="8" t="n">
        <v>175</v>
      </c>
    </row>
    <row r="505" customFormat="false" ht="23.85" hidden="false" customHeight="false" outlineLevel="0" collapsed="false">
      <c r="A505" s="10"/>
      <c r="B505" s="11"/>
      <c r="C505" s="8" t="n">
        <v>40</v>
      </c>
      <c r="D505" s="10" t="s">
        <v>233</v>
      </c>
      <c r="E505" s="11" t="s">
        <v>276</v>
      </c>
      <c r="F505" s="11" t="s">
        <v>235</v>
      </c>
      <c r="G505" s="8" t="n">
        <v>175</v>
      </c>
    </row>
    <row r="506" customFormat="false" ht="23.85" hidden="false" customHeight="false" outlineLevel="0" collapsed="false">
      <c r="A506" s="6" t="n">
        <v>15</v>
      </c>
      <c r="B506" s="7" t="s">
        <v>51</v>
      </c>
      <c r="C506" s="4" t="n">
        <v>1</v>
      </c>
      <c r="D506" s="6" t="s">
        <v>86</v>
      </c>
      <c r="E506" s="7" t="s">
        <v>673</v>
      </c>
      <c r="F506" s="7" t="s">
        <v>183</v>
      </c>
      <c r="G506" s="4" t="n">
        <v>0</v>
      </c>
    </row>
    <row r="507" customFormat="false" ht="15" hidden="false" customHeight="false" outlineLevel="0" collapsed="false">
      <c r="A507" s="6"/>
      <c r="B507" s="7"/>
      <c r="C507" s="4" t="n">
        <v>2</v>
      </c>
      <c r="D507" s="6" t="s">
        <v>86</v>
      </c>
      <c r="E507" s="7" t="s">
        <v>238</v>
      </c>
      <c r="F507" s="7" t="s">
        <v>183</v>
      </c>
      <c r="G507" s="4" t="n">
        <v>0</v>
      </c>
    </row>
    <row r="508" customFormat="false" ht="15" hidden="false" customHeight="false" outlineLevel="0" collapsed="false">
      <c r="A508" s="6"/>
      <c r="B508" s="7"/>
      <c r="C508" s="4" t="n">
        <v>3</v>
      </c>
      <c r="D508" s="6" t="s">
        <v>86</v>
      </c>
      <c r="E508" s="7" t="s">
        <v>674</v>
      </c>
      <c r="F508" s="7" t="s">
        <v>183</v>
      </c>
      <c r="G508" s="4" t="n">
        <v>0</v>
      </c>
    </row>
    <row r="509" customFormat="false" ht="15" hidden="false" customHeight="false" outlineLevel="0" collapsed="false">
      <c r="A509" s="6"/>
      <c r="B509" s="7"/>
      <c r="C509" s="4" t="n">
        <v>4</v>
      </c>
      <c r="D509" s="6" t="s">
        <v>186</v>
      </c>
      <c r="E509" s="7" t="s">
        <v>675</v>
      </c>
      <c r="F509" s="7" t="s">
        <v>188</v>
      </c>
      <c r="G509" s="4" t="n">
        <v>10</v>
      </c>
    </row>
    <row r="510" customFormat="false" ht="15" hidden="false" customHeight="false" outlineLevel="0" collapsed="false">
      <c r="A510" s="6"/>
      <c r="B510" s="7"/>
      <c r="C510" s="4" t="n">
        <v>5</v>
      </c>
      <c r="D510" s="6" t="s">
        <v>186</v>
      </c>
      <c r="E510" s="7" t="s">
        <v>676</v>
      </c>
      <c r="F510" s="7" t="s">
        <v>188</v>
      </c>
      <c r="G510" s="4" t="n">
        <v>10</v>
      </c>
    </row>
    <row r="511" customFormat="false" ht="15" hidden="false" customHeight="false" outlineLevel="0" collapsed="false">
      <c r="A511" s="6"/>
      <c r="B511" s="7"/>
      <c r="C511" s="4" t="n">
        <v>6</v>
      </c>
      <c r="D511" s="6" t="s">
        <v>186</v>
      </c>
      <c r="E511" s="7" t="s">
        <v>677</v>
      </c>
      <c r="F511" s="7" t="s">
        <v>188</v>
      </c>
      <c r="G511" s="4" t="n">
        <v>10</v>
      </c>
    </row>
    <row r="512" customFormat="false" ht="23.85" hidden="false" customHeight="false" outlineLevel="0" collapsed="false">
      <c r="A512" s="6"/>
      <c r="B512" s="7"/>
      <c r="C512" s="4" t="n">
        <v>7</v>
      </c>
      <c r="D512" s="6" t="s">
        <v>191</v>
      </c>
      <c r="E512" s="7" t="s">
        <v>678</v>
      </c>
      <c r="F512" s="7" t="s">
        <v>193</v>
      </c>
      <c r="G512" s="4" t="n">
        <v>25</v>
      </c>
    </row>
    <row r="513" customFormat="false" ht="23.85" hidden="false" customHeight="false" outlineLevel="0" collapsed="false">
      <c r="A513" s="6"/>
      <c r="B513" s="7"/>
      <c r="C513" s="4" t="n">
        <v>8</v>
      </c>
      <c r="D513" s="6" t="s">
        <v>191</v>
      </c>
      <c r="E513" s="7" t="s">
        <v>679</v>
      </c>
      <c r="F513" s="7" t="s">
        <v>193</v>
      </c>
      <c r="G513" s="4" t="n">
        <v>25</v>
      </c>
    </row>
    <row r="514" customFormat="false" ht="23.85" hidden="false" customHeight="false" outlineLevel="0" collapsed="false">
      <c r="A514" s="6"/>
      <c r="B514" s="7"/>
      <c r="C514" s="4" t="n">
        <v>9</v>
      </c>
      <c r="D514" s="6" t="s">
        <v>191</v>
      </c>
      <c r="E514" s="7" t="s">
        <v>680</v>
      </c>
      <c r="F514" s="7" t="s">
        <v>193</v>
      </c>
      <c r="G514" s="4" t="n">
        <v>25</v>
      </c>
    </row>
    <row r="515" customFormat="false" ht="23.85" hidden="false" customHeight="false" outlineLevel="0" collapsed="false">
      <c r="A515" s="6"/>
      <c r="B515" s="7"/>
      <c r="C515" s="4" t="n">
        <v>10</v>
      </c>
      <c r="D515" s="6" t="s">
        <v>191</v>
      </c>
      <c r="E515" s="7" t="s">
        <v>681</v>
      </c>
      <c r="F515" s="7" t="s">
        <v>193</v>
      </c>
      <c r="G515" s="4" t="n">
        <v>25</v>
      </c>
    </row>
    <row r="516" customFormat="false" ht="23.85" hidden="false" customHeight="false" outlineLevel="0" collapsed="false">
      <c r="A516" s="6"/>
      <c r="B516" s="7"/>
      <c r="C516" s="4" t="n">
        <v>11</v>
      </c>
      <c r="D516" s="6" t="s">
        <v>191</v>
      </c>
      <c r="E516" s="7" t="s">
        <v>682</v>
      </c>
      <c r="F516" s="7" t="s">
        <v>193</v>
      </c>
      <c r="G516" s="4" t="n">
        <v>25</v>
      </c>
    </row>
    <row r="517" customFormat="false" ht="23.85" hidden="false" customHeight="false" outlineLevel="0" collapsed="false">
      <c r="A517" s="6"/>
      <c r="B517" s="7"/>
      <c r="C517" s="4" t="n">
        <v>12</v>
      </c>
      <c r="D517" s="6" t="s">
        <v>191</v>
      </c>
      <c r="E517" s="7" t="s">
        <v>683</v>
      </c>
      <c r="F517" s="7" t="s">
        <v>193</v>
      </c>
      <c r="G517" s="4" t="n">
        <v>25</v>
      </c>
    </row>
    <row r="518" customFormat="false" ht="23.85" hidden="false" customHeight="false" outlineLevel="0" collapsed="false">
      <c r="A518" s="6"/>
      <c r="B518" s="7"/>
      <c r="C518" s="4" t="n">
        <v>13</v>
      </c>
      <c r="D518" s="6" t="s">
        <v>191</v>
      </c>
      <c r="E518" s="7" t="s">
        <v>684</v>
      </c>
      <c r="F518" s="7" t="s">
        <v>193</v>
      </c>
      <c r="G518" s="4" t="n">
        <v>25</v>
      </c>
    </row>
    <row r="519" customFormat="false" ht="23.85" hidden="false" customHeight="false" outlineLevel="0" collapsed="false">
      <c r="A519" s="6"/>
      <c r="B519" s="7"/>
      <c r="C519" s="4" t="n">
        <v>14</v>
      </c>
      <c r="D519" s="6" t="s">
        <v>191</v>
      </c>
      <c r="E519" s="7" t="s">
        <v>685</v>
      </c>
      <c r="F519" s="7" t="s">
        <v>193</v>
      </c>
      <c r="G519" s="4" t="n">
        <v>25</v>
      </c>
    </row>
    <row r="520" customFormat="false" ht="15" hidden="false" customHeight="false" outlineLevel="0" collapsed="false">
      <c r="A520" s="6"/>
      <c r="B520" s="7"/>
      <c r="C520" s="4" t="n">
        <v>15</v>
      </c>
      <c r="D520" s="6" t="s">
        <v>201</v>
      </c>
      <c r="E520" s="7" t="s">
        <v>686</v>
      </c>
      <c r="F520" s="7" t="s">
        <v>203</v>
      </c>
      <c r="G520" s="4" t="n">
        <v>70</v>
      </c>
    </row>
    <row r="521" customFormat="false" ht="15" hidden="false" customHeight="false" outlineLevel="0" collapsed="false">
      <c r="A521" s="6"/>
      <c r="B521" s="7"/>
      <c r="C521" s="4" t="n">
        <v>16</v>
      </c>
      <c r="D521" s="6" t="s">
        <v>201</v>
      </c>
      <c r="E521" s="7" t="s">
        <v>687</v>
      </c>
      <c r="F521" s="7" t="s">
        <v>203</v>
      </c>
      <c r="G521" s="4" t="n">
        <v>70</v>
      </c>
    </row>
    <row r="522" customFormat="false" ht="15" hidden="false" customHeight="false" outlineLevel="0" collapsed="false">
      <c r="A522" s="6"/>
      <c r="B522" s="7"/>
      <c r="C522" s="4" t="n">
        <v>17</v>
      </c>
      <c r="D522" s="6" t="s">
        <v>201</v>
      </c>
      <c r="E522" s="7" t="s">
        <v>688</v>
      </c>
      <c r="F522" s="7" t="s">
        <v>203</v>
      </c>
      <c r="G522" s="4" t="n">
        <v>70</v>
      </c>
    </row>
    <row r="523" customFormat="false" ht="15" hidden="false" customHeight="false" outlineLevel="0" collapsed="false">
      <c r="A523" s="6"/>
      <c r="B523" s="7"/>
      <c r="C523" s="4" t="n">
        <v>18</v>
      </c>
      <c r="D523" s="6" t="s">
        <v>201</v>
      </c>
      <c r="E523" s="7" t="s">
        <v>689</v>
      </c>
      <c r="F523" s="7" t="s">
        <v>203</v>
      </c>
      <c r="G523" s="4" t="n">
        <v>70</v>
      </c>
    </row>
    <row r="524" customFormat="false" ht="15" hidden="false" customHeight="false" outlineLevel="0" collapsed="false">
      <c r="A524" s="6"/>
      <c r="B524" s="7"/>
      <c r="C524" s="4" t="n">
        <v>19</v>
      </c>
      <c r="D524" s="6" t="s">
        <v>201</v>
      </c>
      <c r="E524" s="7" t="s">
        <v>690</v>
      </c>
      <c r="F524" s="7" t="s">
        <v>203</v>
      </c>
      <c r="G524" s="4" t="n">
        <v>70</v>
      </c>
    </row>
    <row r="525" customFormat="false" ht="15" hidden="false" customHeight="false" outlineLevel="0" collapsed="false">
      <c r="A525" s="6"/>
      <c r="B525" s="7"/>
      <c r="C525" s="4" t="n">
        <v>20</v>
      </c>
      <c r="D525" s="6" t="s">
        <v>201</v>
      </c>
      <c r="E525" s="7" t="s">
        <v>691</v>
      </c>
      <c r="F525" s="7" t="s">
        <v>203</v>
      </c>
      <c r="G525" s="4" t="n">
        <v>70</v>
      </c>
    </row>
    <row r="526" customFormat="false" ht="15" hidden="false" customHeight="false" outlineLevel="0" collapsed="false">
      <c r="A526" s="6"/>
      <c r="B526" s="7"/>
      <c r="C526" s="4" t="n">
        <v>21</v>
      </c>
      <c r="D526" s="6" t="s">
        <v>201</v>
      </c>
      <c r="E526" s="7" t="s">
        <v>692</v>
      </c>
      <c r="F526" s="7" t="s">
        <v>203</v>
      </c>
      <c r="G526" s="4" t="n">
        <v>70</v>
      </c>
    </row>
    <row r="527" customFormat="false" ht="15" hidden="false" customHeight="false" outlineLevel="0" collapsed="false">
      <c r="A527" s="6"/>
      <c r="B527" s="7"/>
      <c r="C527" s="4" t="n">
        <v>22</v>
      </c>
      <c r="D527" s="6" t="s">
        <v>201</v>
      </c>
      <c r="E527" s="7" t="s">
        <v>693</v>
      </c>
      <c r="F527" s="7" t="s">
        <v>203</v>
      </c>
      <c r="G527" s="4" t="n">
        <v>70</v>
      </c>
    </row>
    <row r="528" customFormat="false" ht="15" hidden="false" customHeight="false" outlineLevel="0" collapsed="false">
      <c r="A528" s="6"/>
      <c r="B528" s="7"/>
      <c r="C528" s="4" t="n">
        <v>23</v>
      </c>
      <c r="D528" s="6" t="s">
        <v>211</v>
      </c>
      <c r="E528" s="7" t="s">
        <v>694</v>
      </c>
      <c r="F528" s="7" t="s">
        <v>213</v>
      </c>
      <c r="G528" s="4" t="n">
        <v>100</v>
      </c>
    </row>
    <row r="529" customFormat="false" ht="15" hidden="false" customHeight="false" outlineLevel="0" collapsed="false">
      <c r="A529" s="6"/>
      <c r="B529" s="7"/>
      <c r="C529" s="4" t="n">
        <v>24</v>
      </c>
      <c r="D529" s="6" t="s">
        <v>211</v>
      </c>
      <c r="E529" s="7" t="s">
        <v>695</v>
      </c>
      <c r="F529" s="7" t="s">
        <v>213</v>
      </c>
      <c r="G529" s="4" t="n">
        <v>100</v>
      </c>
    </row>
    <row r="530" customFormat="false" ht="15" hidden="false" customHeight="false" outlineLevel="0" collapsed="false">
      <c r="A530" s="6"/>
      <c r="B530" s="7"/>
      <c r="C530" s="4" t="n">
        <v>25</v>
      </c>
      <c r="D530" s="6" t="s">
        <v>211</v>
      </c>
      <c r="E530" s="7" t="s">
        <v>696</v>
      </c>
      <c r="F530" s="7" t="s">
        <v>213</v>
      </c>
      <c r="G530" s="4" t="n">
        <v>100</v>
      </c>
    </row>
    <row r="531" customFormat="false" ht="15" hidden="false" customHeight="false" outlineLevel="0" collapsed="false">
      <c r="A531" s="6"/>
      <c r="B531" s="7"/>
      <c r="C531" s="4" t="n">
        <v>26</v>
      </c>
      <c r="D531" s="6" t="s">
        <v>211</v>
      </c>
      <c r="E531" s="7" t="s">
        <v>697</v>
      </c>
      <c r="F531" s="7" t="s">
        <v>213</v>
      </c>
      <c r="G531" s="4" t="n">
        <v>100</v>
      </c>
    </row>
    <row r="532" customFormat="false" ht="15" hidden="false" customHeight="false" outlineLevel="0" collapsed="false">
      <c r="A532" s="6"/>
      <c r="B532" s="7"/>
      <c r="C532" s="4" t="n">
        <v>27</v>
      </c>
      <c r="D532" s="6" t="s">
        <v>211</v>
      </c>
      <c r="E532" s="7" t="s">
        <v>698</v>
      </c>
      <c r="F532" s="7" t="s">
        <v>213</v>
      </c>
      <c r="G532" s="4" t="n">
        <v>100</v>
      </c>
    </row>
    <row r="533" customFormat="false" ht="15" hidden="false" customHeight="false" outlineLevel="0" collapsed="false">
      <c r="A533" s="6"/>
      <c r="B533" s="7"/>
      <c r="C533" s="4" t="n">
        <v>28</v>
      </c>
      <c r="D533" s="6" t="s">
        <v>211</v>
      </c>
      <c r="E533" s="7" t="s">
        <v>699</v>
      </c>
      <c r="F533" s="7" t="s">
        <v>213</v>
      </c>
      <c r="G533" s="4" t="n">
        <v>100</v>
      </c>
    </row>
    <row r="534" customFormat="false" ht="15" hidden="false" customHeight="false" outlineLevel="0" collapsed="false">
      <c r="A534" s="6"/>
      <c r="B534" s="7"/>
      <c r="C534" s="4" t="n">
        <v>29</v>
      </c>
      <c r="D534" s="6" t="s">
        <v>211</v>
      </c>
      <c r="E534" s="7" t="s">
        <v>700</v>
      </c>
      <c r="F534" s="7" t="s">
        <v>213</v>
      </c>
      <c r="G534" s="4" t="n">
        <v>100</v>
      </c>
    </row>
    <row r="535" customFormat="false" ht="15" hidden="false" customHeight="false" outlineLevel="0" collapsed="false">
      <c r="A535" s="6"/>
      <c r="B535" s="7"/>
      <c r="C535" s="4" t="n">
        <v>30</v>
      </c>
      <c r="D535" s="6" t="s">
        <v>211</v>
      </c>
      <c r="E535" s="7" t="s">
        <v>701</v>
      </c>
      <c r="F535" s="7" t="s">
        <v>213</v>
      </c>
      <c r="G535" s="4" t="n">
        <v>100</v>
      </c>
    </row>
    <row r="536" customFormat="false" ht="15" hidden="false" customHeight="false" outlineLevel="0" collapsed="false">
      <c r="A536" s="6"/>
      <c r="B536" s="7"/>
      <c r="C536" s="4" t="n">
        <v>31</v>
      </c>
      <c r="D536" s="6" t="s">
        <v>221</v>
      </c>
      <c r="E536" s="7" t="s">
        <v>702</v>
      </c>
      <c r="F536" s="7" t="s">
        <v>223</v>
      </c>
      <c r="G536" s="4" t="n">
        <v>125</v>
      </c>
    </row>
    <row r="537" customFormat="false" ht="15" hidden="false" customHeight="false" outlineLevel="0" collapsed="false">
      <c r="A537" s="6"/>
      <c r="B537" s="7"/>
      <c r="C537" s="4" t="n">
        <v>32</v>
      </c>
      <c r="D537" s="6" t="s">
        <v>221</v>
      </c>
      <c r="E537" s="7" t="s">
        <v>703</v>
      </c>
      <c r="F537" s="7" t="s">
        <v>223</v>
      </c>
      <c r="G537" s="4" t="n">
        <v>125</v>
      </c>
    </row>
    <row r="538" customFormat="false" ht="15" hidden="false" customHeight="false" outlineLevel="0" collapsed="false">
      <c r="A538" s="6"/>
      <c r="B538" s="7"/>
      <c r="C538" s="4" t="n">
        <v>33</v>
      </c>
      <c r="D538" s="6" t="s">
        <v>221</v>
      </c>
      <c r="E538" s="7" t="s">
        <v>420</v>
      </c>
      <c r="F538" s="7" t="s">
        <v>223</v>
      </c>
      <c r="G538" s="4" t="n">
        <v>125</v>
      </c>
    </row>
    <row r="539" customFormat="false" ht="15" hidden="false" customHeight="false" outlineLevel="0" collapsed="false">
      <c r="A539" s="6"/>
      <c r="B539" s="7"/>
      <c r="C539" s="4" t="n">
        <v>34</v>
      </c>
      <c r="D539" s="6" t="s">
        <v>221</v>
      </c>
      <c r="E539" s="7" t="s">
        <v>704</v>
      </c>
      <c r="F539" s="7" t="s">
        <v>223</v>
      </c>
      <c r="G539" s="4" t="n">
        <v>125</v>
      </c>
    </row>
    <row r="540" customFormat="false" ht="15" hidden="false" customHeight="false" outlineLevel="0" collapsed="false">
      <c r="A540" s="6"/>
      <c r="B540" s="7"/>
      <c r="C540" s="4" t="n">
        <v>35</v>
      </c>
      <c r="D540" s="6" t="s">
        <v>227</v>
      </c>
      <c r="E540" s="7" t="s">
        <v>705</v>
      </c>
      <c r="F540" s="7" t="s">
        <v>229</v>
      </c>
      <c r="G540" s="4" t="n">
        <v>165</v>
      </c>
    </row>
    <row r="541" customFormat="false" ht="15" hidden="false" customHeight="false" outlineLevel="0" collapsed="false">
      <c r="A541" s="6"/>
      <c r="B541" s="7"/>
      <c r="C541" s="4" t="n">
        <v>36</v>
      </c>
      <c r="D541" s="6" t="s">
        <v>227</v>
      </c>
      <c r="E541" s="7" t="s">
        <v>706</v>
      </c>
      <c r="F541" s="7" t="s">
        <v>229</v>
      </c>
      <c r="G541" s="4" t="n">
        <v>165</v>
      </c>
    </row>
    <row r="542" customFormat="false" ht="15" hidden="false" customHeight="false" outlineLevel="0" collapsed="false">
      <c r="A542" s="6"/>
      <c r="B542" s="7"/>
      <c r="C542" s="4" t="n">
        <v>37</v>
      </c>
      <c r="D542" s="6" t="s">
        <v>227</v>
      </c>
      <c r="E542" s="7" t="s">
        <v>707</v>
      </c>
      <c r="F542" s="7" t="s">
        <v>229</v>
      </c>
      <c r="G542" s="4" t="n">
        <v>165</v>
      </c>
    </row>
    <row r="543" customFormat="false" ht="15" hidden="false" customHeight="false" outlineLevel="0" collapsed="false">
      <c r="A543" s="6"/>
      <c r="B543" s="7"/>
      <c r="C543" s="4" t="n">
        <v>38</v>
      </c>
      <c r="D543" s="6" t="s">
        <v>227</v>
      </c>
      <c r="E543" s="7" t="s">
        <v>708</v>
      </c>
      <c r="F543" s="7" t="s">
        <v>229</v>
      </c>
      <c r="G543" s="4" t="n">
        <v>165</v>
      </c>
    </row>
    <row r="544" customFormat="false" ht="23.85" hidden="false" customHeight="false" outlineLevel="0" collapsed="false">
      <c r="A544" s="6"/>
      <c r="B544" s="7"/>
      <c r="C544" s="4" t="n">
        <v>39</v>
      </c>
      <c r="D544" s="6" t="s">
        <v>233</v>
      </c>
      <c r="E544" s="7" t="s">
        <v>709</v>
      </c>
      <c r="F544" s="7" t="s">
        <v>235</v>
      </c>
      <c r="G544" s="4" t="n">
        <v>175</v>
      </c>
    </row>
    <row r="545" customFormat="false" ht="23.85" hidden="false" customHeight="false" outlineLevel="0" collapsed="false">
      <c r="A545" s="6"/>
      <c r="B545" s="7"/>
      <c r="C545" s="4" t="n">
        <v>40</v>
      </c>
      <c r="D545" s="6" t="s">
        <v>233</v>
      </c>
      <c r="E545" s="7" t="s">
        <v>276</v>
      </c>
      <c r="F545" s="7" t="s">
        <v>235</v>
      </c>
      <c r="G545" s="4" t="n">
        <v>175</v>
      </c>
    </row>
    <row r="546" customFormat="false" ht="23.85" hidden="false" customHeight="false" outlineLevel="0" collapsed="false">
      <c r="A546" s="10" t="n">
        <v>16</v>
      </c>
      <c r="B546" s="11" t="s">
        <v>53</v>
      </c>
      <c r="C546" s="8" t="n">
        <v>1</v>
      </c>
      <c r="D546" s="10" t="s">
        <v>86</v>
      </c>
      <c r="E546" s="11" t="s">
        <v>710</v>
      </c>
      <c r="F546" s="11" t="s">
        <v>183</v>
      </c>
      <c r="G546" s="8" t="n">
        <v>0</v>
      </c>
    </row>
    <row r="547" customFormat="false" ht="15" hidden="false" customHeight="false" outlineLevel="0" collapsed="false">
      <c r="A547" s="10"/>
      <c r="B547" s="11"/>
      <c r="C547" s="8" t="n">
        <v>2</v>
      </c>
      <c r="D547" s="10" t="s">
        <v>86</v>
      </c>
      <c r="E547" s="11" t="s">
        <v>238</v>
      </c>
      <c r="F547" s="11" t="s">
        <v>183</v>
      </c>
      <c r="G547" s="8" t="n">
        <v>0</v>
      </c>
    </row>
    <row r="548" customFormat="false" ht="15" hidden="false" customHeight="false" outlineLevel="0" collapsed="false">
      <c r="A548" s="10"/>
      <c r="B548" s="11"/>
      <c r="C548" s="8" t="n">
        <v>3</v>
      </c>
      <c r="D548" s="10" t="s">
        <v>86</v>
      </c>
      <c r="E548" s="11" t="s">
        <v>711</v>
      </c>
      <c r="F548" s="11" t="s">
        <v>183</v>
      </c>
      <c r="G548" s="8" t="n">
        <v>0</v>
      </c>
    </row>
    <row r="549" customFormat="false" ht="15" hidden="false" customHeight="false" outlineLevel="0" collapsed="false">
      <c r="A549" s="10"/>
      <c r="B549" s="11"/>
      <c r="C549" s="8" t="n">
        <v>4</v>
      </c>
      <c r="D549" s="10" t="s">
        <v>186</v>
      </c>
      <c r="E549" s="11" t="s">
        <v>712</v>
      </c>
      <c r="F549" s="11" t="s">
        <v>188</v>
      </c>
      <c r="G549" s="8" t="n">
        <v>10</v>
      </c>
    </row>
    <row r="550" customFormat="false" ht="15" hidden="false" customHeight="false" outlineLevel="0" collapsed="false">
      <c r="A550" s="10"/>
      <c r="B550" s="11"/>
      <c r="C550" s="8" t="n">
        <v>5</v>
      </c>
      <c r="D550" s="10" t="s">
        <v>186</v>
      </c>
      <c r="E550" s="11" t="s">
        <v>713</v>
      </c>
      <c r="F550" s="11" t="s">
        <v>188</v>
      </c>
      <c r="G550" s="8" t="n">
        <v>10</v>
      </c>
    </row>
    <row r="551" customFormat="false" ht="15" hidden="false" customHeight="false" outlineLevel="0" collapsed="false">
      <c r="A551" s="10"/>
      <c r="B551" s="11"/>
      <c r="C551" s="8" t="n">
        <v>6</v>
      </c>
      <c r="D551" s="10" t="s">
        <v>186</v>
      </c>
      <c r="E551" s="11" t="s">
        <v>714</v>
      </c>
      <c r="F551" s="11" t="s">
        <v>188</v>
      </c>
      <c r="G551" s="8" t="n">
        <v>10</v>
      </c>
    </row>
    <row r="552" customFormat="false" ht="23.85" hidden="false" customHeight="false" outlineLevel="0" collapsed="false">
      <c r="A552" s="10"/>
      <c r="B552" s="11"/>
      <c r="C552" s="8" t="n">
        <v>7</v>
      </c>
      <c r="D552" s="10" t="s">
        <v>191</v>
      </c>
      <c r="E552" s="11" t="s">
        <v>715</v>
      </c>
      <c r="F552" s="11" t="s">
        <v>193</v>
      </c>
      <c r="G552" s="8" t="n">
        <v>25</v>
      </c>
    </row>
    <row r="553" customFormat="false" ht="23.85" hidden="false" customHeight="false" outlineLevel="0" collapsed="false">
      <c r="A553" s="10"/>
      <c r="B553" s="11"/>
      <c r="C553" s="8" t="n">
        <v>8</v>
      </c>
      <c r="D553" s="10" t="s">
        <v>191</v>
      </c>
      <c r="E553" s="11" t="s">
        <v>716</v>
      </c>
      <c r="F553" s="11" t="s">
        <v>193</v>
      </c>
      <c r="G553" s="8" t="n">
        <v>25</v>
      </c>
    </row>
    <row r="554" customFormat="false" ht="23.85" hidden="false" customHeight="false" outlineLevel="0" collapsed="false">
      <c r="A554" s="10"/>
      <c r="B554" s="11"/>
      <c r="C554" s="8" t="n">
        <v>9</v>
      </c>
      <c r="D554" s="10" t="s">
        <v>191</v>
      </c>
      <c r="E554" s="11" t="s">
        <v>717</v>
      </c>
      <c r="F554" s="11" t="s">
        <v>193</v>
      </c>
      <c r="G554" s="8" t="n">
        <v>25</v>
      </c>
    </row>
    <row r="555" customFormat="false" ht="23.85" hidden="false" customHeight="false" outlineLevel="0" collapsed="false">
      <c r="A555" s="10"/>
      <c r="B555" s="11"/>
      <c r="C555" s="8" t="n">
        <v>10</v>
      </c>
      <c r="D555" s="10" t="s">
        <v>191</v>
      </c>
      <c r="E555" s="11" t="s">
        <v>718</v>
      </c>
      <c r="F555" s="11" t="s">
        <v>193</v>
      </c>
      <c r="G555" s="8" t="n">
        <v>25</v>
      </c>
    </row>
    <row r="556" customFormat="false" ht="23.85" hidden="false" customHeight="false" outlineLevel="0" collapsed="false">
      <c r="A556" s="10"/>
      <c r="B556" s="11"/>
      <c r="C556" s="8" t="n">
        <v>11</v>
      </c>
      <c r="D556" s="10" t="s">
        <v>191</v>
      </c>
      <c r="E556" s="11" t="s">
        <v>719</v>
      </c>
      <c r="F556" s="11" t="s">
        <v>193</v>
      </c>
      <c r="G556" s="8" t="n">
        <v>25</v>
      </c>
    </row>
    <row r="557" customFormat="false" ht="23.85" hidden="false" customHeight="false" outlineLevel="0" collapsed="false">
      <c r="A557" s="10"/>
      <c r="B557" s="11"/>
      <c r="C557" s="8" t="n">
        <v>12</v>
      </c>
      <c r="D557" s="10" t="s">
        <v>191</v>
      </c>
      <c r="E557" s="11" t="s">
        <v>720</v>
      </c>
      <c r="F557" s="11" t="s">
        <v>193</v>
      </c>
      <c r="G557" s="8" t="n">
        <v>25</v>
      </c>
    </row>
    <row r="558" customFormat="false" ht="23.85" hidden="false" customHeight="false" outlineLevel="0" collapsed="false">
      <c r="A558" s="10"/>
      <c r="B558" s="11"/>
      <c r="C558" s="8" t="n">
        <v>13</v>
      </c>
      <c r="D558" s="10" t="s">
        <v>191</v>
      </c>
      <c r="E558" s="11" t="s">
        <v>721</v>
      </c>
      <c r="F558" s="11" t="s">
        <v>193</v>
      </c>
      <c r="G558" s="8" t="n">
        <v>25</v>
      </c>
    </row>
    <row r="559" customFormat="false" ht="23.85" hidden="false" customHeight="false" outlineLevel="0" collapsed="false">
      <c r="A559" s="10"/>
      <c r="B559" s="11"/>
      <c r="C559" s="8" t="n">
        <v>14</v>
      </c>
      <c r="D559" s="10" t="s">
        <v>191</v>
      </c>
      <c r="E559" s="11" t="s">
        <v>722</v>
      </c>
      <c r="F559" s="11" t="s">
        <v>193</v>
      </c>
      <c r="G559" s="8" t="n">
        <v>25</v>
      </c>
    </row>
    <row r="560" customFormat="false" ht="15" hidden="false" customHeight="false" outlineLevel="0" collapsed="false">
      <c r="A560" s="10"/>
      <c r="B560" s="11"/>
      <c r="C560" s="8" t="n">
        <v>15</v>
      </c>
      <c r="D560" s="10" t="s">
        <v>201</v>
      </c>
      <c r="E560" s="11" t="s">
        <v>723</v>
      </c>
      <c r="F560" s="11" t="s">
        <v>203</v>
      </c>
      <c r="G560" s="8" t="n">
        <v>70</v>
      </c>
    </row>
    <row r="561" customFormat="false" ht="15" hidden="false" customHeight="false" outlineLevel="0" collapsed="false">
      <c r="A561" s="10"/>
      <c r="B561" s="11"/>
      <c r="C561" s="8" t="n">
        <v>16</v>
      </c>
      <c r="D561" s="10" t="s">
        <v>201</v>
      </c>
      <c r="E561" s="11" t="s">
        <v>724</v>
      </c>
      <c r="F561" s="11" t="s">
        <v>203</v>
      </c>
      <c r="G561" s="8" t="n">
        <v>70</v>
      </c>
    </row>
    <row r="562" customFormat="false" ht="15" hidden="false" customHeight="false" outlineLevel="0" collapsed="false">
      <c r="A562" s="10"/>
      <c r="B562" s="11"/>
      <c r="C562" s="8" t="n">
        <v>17</v>
      </c>
      <c r="D562" s="10" t="s">
        <v>201</v>
      </c>
      <c r="E562" s="11" t="s">
        <v>725</v>
      </c>
      <c r="F562" s="11" t="s">
        <v>203</v>
      </c>
      <c r="G562" s="8" t="n">
        <v>70</v>
      </c>
    </row>
    <row r="563" customFormat="false" ht="15" hidden="false" customHeight="false" outlineLevel="0" collapsed="false">
      <c r="A563" s="10"/>
      <c r="B563" s="11"/>
      <c r="C563" s="8" t="n">
        <v>18</v>
      </c>
      <c r="D563" s="10" t="s">
        <v>201</v>
      </c>
      <c r="E563" s="11" t="s">
        <v>726</v>
      </c>
      <c r="F563" s="11" t="s">
        <v>203</v>
      </c>
      <c r="G563" s="8" t="n">
        <v>70</v>
      </c>
    </row>
    <row r="564" customFormat="false" ht="15" hidden="false" customHeight="false" outlineLevel="0" collapsed="false">
      <c r="A564" s="10"/>
      <c r="B564" s="11"/>
      <c r="C564" s="8" t="n">
        <v>19</v>
      </c>
      <c r="D564" s="10" t="s">
        <v>201</v>
      </c>
      <c r="E564" s="11" t="s">
        <v>727</v>
      </c>
      <c r="F564" s="11" t="s">
        <v>203</v>
      </c>
      <c r="G564" s="8" t="n">
        <v>70</v>
      </c>
    </row>
    <row r="565" customFormat="false" ht="15" hidden="false" customHeight="false" outlineLevel="0" collapsed="false">
      <c r="A565" s="10"/>
      <c r="B565" s="11"/>
      <c r="C565" s="8" t="n">
        <v>20</v>
      </c>
      <c r="D565" s="10" t="s">
        <v>201</v>
      </c>
      <c r="E565" s="11" t="s">
        <v>728</v>
      </c>
      <c r="F565" s="11" t="s">
        <v>203</v>
      </c>
      <c r="G565" s="8" t="n">
        <v>70</v>
      </c>
    </row>
    <row r="566" customFormat="false" ht="15" hidden="false" customHeight="false" outlineLevel="0" collapsed="false">
      <c r="A566" s="10"/>
      <c r="B566" s="11"/>
      <c r="C566" s="8" t="n">
        <v>21</v>
      </c>
      <c r="D566" s="10" t="s">
        <v>201</v>
      </c>
      <c r="E566" s="11" t="s">
        <v>729</v>
      </c>
      <c r="F566" s="11" t="s">
        <v>203</v>
      </c>
      <c r="G566" s="8" t="n">
        <v>70</v>
      </c>
    </row>
    <row r="567" customFormat="false" ht="15" hidden="false" customHeight="false" outlineLevel="0" collapsed="false">
      <c r="A567" s="10"/>
      <c r="B567" s="11"/>
      <c r="C567" s="8" t="n">
        <v>22</v>
      </c>
      <c r="D567" s="10" t="s">
        <v>201</v>
      </c>
      <c r="E567" s="11" t="s">
        <v>730</v>
      </c>
      <c r="F567" s="11" t="s">
        <v>203</v>
      </c>
      <c r="G567" s="8" t="n">
        <v>70</v>
      </c>
    </row>
    <row r="568" customFormat="false" ht="15" hidden="false" customHeight="false" outlineLevel="0" collapsed="false">
      <c r="A568" s="10"/>
      <c r="B568" s="11"/>
      <c r="C568" s="8" t="n">
        <v>23</v>
      </c>
      <c r="D568" s="10" t="s">
        <v>211</v>
      </c>
      <c r="E568" s="11" t="s">
        <v>731</v>
      </c>
      <c r="F568" s="11" t="s">
        <v>213</v>
      </c>
      <c r="G568" s="8" t="n">
        <v>100</v>
      </c>
    </row>
    <row r="569" customFormat="false" ht="15" hidden="false" customHeight="false" outlineLevel="0" collapsed="false">
      <c r="A569" s="10"/>
      <c r="B569" s="11"/>
      <c r="C569" s="8" t="n">
        <v>24</v>
      </c>
      <c r="D569" s="10" t="s">
        <v>211</v>
      </c>
      <c r="E569" s="11" t="s">
        <v>732</v>
      </c>
      <c r="F569" s="11" t="s">
        <v>213</v>
      </c>
      <c r="G569" s="8" t="n">
        <v>100</v>
      </c>
    </row>
    <row r="570" customFormat="false" ht="15" hidden="false" customHeight="false" outlineLevel="0" collapsed="false">
      <c r="A570" s="10"/>
      <c r="B570" s="11"/>
      <c r="C570" s="8" t="n">
        <v>25</v>
      </c>
      <c r="D570" s="10" t="s">
        <v>211</v>
      </c>
      <c r="E570" s="11" t="s">
        <v>733</v>
      </c>
      <c r="F570" s="11" t="s">
        <v>213</v>
      </c>
      <c r="G570" s="8" t="n">
        <v>100</v>
      </c>
    </row>
    <row r="571" customFormat="false" ht="15" hidden="false" customHeight="false" outlineLevel="0" collapsed="false">
      <c r="A571" s="10"/>
      <c r="B571" s="11"/>
      <c r="C571" s="8" t="n">
        <v>26</v>
      </c>
      <c r="D571" s="10" t="s">
        <v>211</v>
      </c>
      <c r="E571" s="11" t="s">
        <v>734</v>
      </c>
      <c r="F571" s="11" t="s">
        <v>213</v>
      </c>
      <c r="G571" s="8" t="n">
        <v>100</v>
      </c>
    </row>
    <row r="572" customFormat="false" ht="15" hidden="false" customHeight="false" outlineLevel="0" collapsed="false">
      <c r="A572" s="10"/>
      <c r="B572" s="11"/>
      <c r="C572" s="8" t="n">
        <v>27</v>
      </c>
      <c r="D572" s="10" t="s">
        <v>211</v>
      </c>
      <c r="E572" s="11" t="s">
        <v>735</v>
      </c>
      <c r="F572" s="11" t="s">
        <v>213</v>
      </c>
      <c r="G572" s="8" t="n">
        <v>100</v>
      </c>
    </row>
    <row r="573" customFormat="false" ht="15" hidden="false" customHeight="false" outlineLevel="0" collapsed="false">
      <c r="A573" s="10"/>
      <c r="B573" s="11"/>
      <c r="C573" s="8" t="n">
        <v>28</v>
      </c>
      <c r="D573" s="10" t="s">
        <v>211</v>
      </c>
      <c r="E573" s="11" t="s">
        <v>736</v>
      </c>
      <c r="F573" s="11" t="s">
        <v>213</v>
      </c>
      <c r="G573" s="8" t="n">
        <v>100</v>
      </c>
    </row>
    <row r="574" customFormat="false" ht="15" hidden="false" customHeight="false" outlineLevel="0" collapsed="false">
      <c r="A574" s="10"/>
      <c r="B574" s="11"/>
      <c r="C574" s="8" t="n">
        <v>29</v>
      </c>
      <c r="D574" s="10" t="s">
        <v>211</v>
      </c>
      <c r="E574" s="11" t="s">
        <v>737</v>
      </c>
      <c r="F574" s="11" t="s">
        <v>213</v>
      </c>
      <c r="G574" s="8" t="n">
        <v>100</v>
      </c>
    </row>
    <row r="575" customFormat="false" ht="15" hidden="false" customHeight="false" outlineLevel="0" collapsed="false">
      <c r="A575" s="10"/>
      <c r="B575" s="11"/>
      <c r="C575" s="8" t="n">
        <v>30</v>
      </c>
      <c r="D575" s="10" t="s">
        <v>211</v>
      </c>
      <c r="E575" s="11" t="s">
        <v>738</v>
      </c>
      <c r="F575" s="11" t="s">
        <v>213</v>
      </c>
      <c r="G575" s="8" t="n">
        <v>100</v>
      </c>
    </row>
    <row r="576" customFormat="false" ht="15" hidden="false" customHeight="false" outlineLevel="0" collapsed="false">
      <c r="A576" s="10"/>
      <c r="B576" s="11"/>
      <c r="C576" s="8" t="n">
        <v>31</v>
      </c>
      <c r="D576" s="10" t="s">
        <v>221</v>
      </c>
      <c r="E576" s="11" t="s">
        <v>739</v>
      </c>
      <c r="F576" s="11" t="s">
        <v>223</v>
      </c>
      <c r="G576" s="8" t="n">
        <v>125</v>
      </c>
    </row>
    <row r="577" customFormat="false" ht="15" hidden="false" customHeight="false" outlineLevel="0" collapsed="false">
      <c r="A577" s="10"/>
      <c r="B577" s="11"/>
      <c r="C577" s="8" t="n">
        <v>32</v>
      </c>
      <c r="D577" s="10" t="s">
        <v>221</v>
      </c>
      <c r="E577" s="11" t="s">
        <v>740</v>
      </c>
      <c r="F577" s="11" t="s">
        <v>223</v>
      </c>
      <c r="G577" s="8" t="n">
        <v>125</v>
      </c>
    </row>
    <row r="578" customFormat="false" ht="15" hidden="false" customHeight="false" outlineLevel="0" collapsed="false">
      <c r="A578" s="10"/>
      <c r="B578" s="11"/>
      <c r="C578" s="8" t="n">
        <v>33</v>
      </c>
      <c r="D578" s="10" t="s">
        <v>221</v>
      </c>
      <c r="E578" s="11" t="s">
        <v>420</v>
      </c>
      <c r="F578" s="11" t="s">
        <v>223</v>
      </c>
      <c r="G578" s="8" t="n">
        <v>125</v>
      </c>
    </row>
    <row r="579" customFormat="false" ht="15" hidden="false" customHeight="false" outlineLevel="0" collapsed="false">
      <c r="A579" s="10"/>
      <c r="B579" s="11"/>
      <c r="C579" s="8" t="n">
        <v>34</v>
      </c>
      <c r="D579" s="10" t="s">
        <v>221</v>
      </c>
      <c r="E579" s="11" t="s">
        <v>741</v>
      </c>
      <c r="F579" s="11" t="s">
        <v>223</v>
      </c>
      <c r="G579" s="8" t="n">
        <v>125</v>
      </c>
    </row>
    <row r="580" customFormat="false" ht="15" hidden="false" customHeight="false" outlineLevel="0" collapsed="false">
      <c r="A580" s="10"/>
      <c r="B580" s="11"/>
      <c r="C580" s="8" t="n">
        <v>35</v>
      </c>
      <c r="D580" s="10" t="s">
        <v>227</v>
      </c>
      <c r="E580" s="11" t="s">
        <v>742</v>
      </c>
      <c r="F580" s="11" t="s">
        <v>229</v>
      </c>
      <c r="G580" s="8" t="n">
        <v>165</v>
      </c>
    </row>
    <row r="581" customFormat="false" ht="15" hidden="false" customHeight="false" outlineLevel="0" collapsed="false">
      <c r="A581" s="10"/>
      <c r="B581" s="11"/>
      <c r="C581" s="8" t="n">
        <v>36</v>
      </c>
      <c r="D581" s="10" t="s">
        <v>227</v>
      </c>
      <c r="E581" s="11" t="s">
        <v>743</v>
      </c>
      <c r="F581" s="11" t="s">
        <v>229</v>
      </c>
      <c r="G581" s="8" t="n">
        <v>165</v>
      </c>
    </row>
    <row r="582" customFormat="false" ht="15" hidden="false" customHeight="false" outlineLevel="0" collapsed="false">
      <c r="A582" s="10"/>
      <c r="B582" s="11"/>
      <c r="C582" s="8" t="n">
        <v>37</v>
      </c>
      <c r="D582" s="10" t="s">
        <v>227</v>
      </c>
      <c r="E582" s="11" t="s">
        <v>744</v>
      </c>
      <c r="F582" s="11" t="s">
        <v>229</v>
      </c>
      <c r="G582" s="8" t="n">
        <v>165</v>
      </c>
    </row>
    <row r="583" customFormat="false" ht="15" hidden="false" customHeight="false" outlineLevel="0" collapsed="false">
      <c r="A583" s="10"/>
      <c r="B583" s="11"/>
      <c r="C583" s="8" t="n">
        <v>38</v>
      </c>
      <c r="D583" s="10" t="s">
        <v>227</v>
      </c>
      <c r="E583" s="11" t="s">
        <v>745</v>
      </c>
      <c r="F583" s="11" t="s">
        <v>229</v>
      </c>
      <c r="G583" s="8" t="n">
        <v>165</v>
      </c>
    </row>
    <row r="584" customFormat="false" ht="23.85" hidden="false" customHeight="false" outlineLevel="0" collapsed="false">
      <c r="A584" s="10"/>
      <c r="B584" s="11"/>
      <c r="C584" s="8" t="n">
        <v>39</v>
      </c>
      <c r="D584" s="10" t="s">
        <v>233</v>
      </c>
      <c r="E584" s="11" t="s">
        <v>746</v>
      </c>
      <c r="F584" s="11" t="s">
        <v>235</v>
      </c>
      <c r="G584" s="8" t="n">
        <v>175</v>
      </c>
    </row>
    <row r="585" customFormat="false" ht="23.85" hidden="false" customHeight="false" outlineLevel="0" collapsed="false">
      <c r="A585" s="10"/>
      <c r="B585" s="11"/>
      <c r="C585" s="8" t="n">
        <v>40</v>
      </c>
      <c r="D585" s="10" t="s">
        <v>233</v>
      </c>
      <c r="E585" s="11" t="s">
        <v>276</v>
      </c>
      <c r="F585" s="11" t="s">
        <v>235</v>
      </c>
      <c r="G585" s="8" t="n">
        <v>175</v>
      </c>
    </row>
    <row r="586" customFormat="false" ht="23.85" hidden="false" customHeight="false" outlineLevel="0" collapsed="false">
      <c r="A586" s="6" t="n">
        <v>17</v>
      </c>
      <c r="B586" s="7" t="s">
        <v>56</v>
      </c>
      <c r="C586" s="4" t="n">
        <v>1</v>
      </c>
      <c r="D586" s="6" t="s">
        <v>501</v>
      </c>
      <c r="E586" s="7" t="s">
        <v>747</v>
      </c>
      <c r="F586" s="7" t="s">
        <v>503</v>
      </c>
      <c r="G586" s="6"/>
    </row>
    <row r="587" customFormat="false" ht="15" hidden="false" customHeight="false" outlineLevel="0" collapsed="false">
      <c r="A587" s="6"/>
      <c r="B587" s="7"/>
      <c r="C587" s="4" t="n">
        <v>2</v>
      </c>
      <c r="D587" s="6" t="s">
        <v>501</v>
      </c>
      <c r="E587" s="7" t="s">
        <v>748</v>
      </c>
      <c r="F587" s="7" t="s">
        <v>503</v>
      </c>
      <c r="G587" s="6"/>
    </row>
    <row r="588" customFormat="false" ht="15" hidden="false" customHeight="false" outlineLevel="0" collapsed="false">
      <c r="A588" s="6"/>
      <c r="B588" s="7"/>
      <c r="C588" s="4" t="n">
        <v>3</v>
      </c>
      <c r="D588" s="6" t="s">
        <v>501</v>
      </c>
      <c r="E588" s="7" t="s">
        <v>506</v>
      </c>
      <c r="F588" s="7" t="s">
        <v>503</v>
      </c>
      <c r="G588" s="6"/>
    </row>
    <row r="589" customFormat="false" ht="15" hidden="false" customHeight="false" outlineLevel="0" collapsed="false">
      <c r="A589" s="6"/>
      <c r="B589" s="7"/>
      <c r="C589" s="4" t="n">
        <v>4</v>
      </c>
      <c r="D589" s="6" t="s">
        <v>501</v>
      </c>
      <c r="E589" s="7" t="s">
        <v>749</v>
      </c>
      <c r="F589" s="7" t="s">
        <v>503</v>
      </c>
      <c r="G589" s="6"/>
    </row>
    <row r="590" customFormat="false" ht="15" hidden="false" customHeight="false" outlineLevel="0" collapsed="false">
      <c r="A590" s="6"/>
      <c r="B590" s="7"/>
      <c r="C590" s="4" t="n">
        <v>5</v>
      </c>
      <c r="D590" s="6" t="s">
        <v>501</v>
      </c>
      <c r="E590" s="7" t="s">
        <v>508</v>
      </c>
      <c r="F590" s="7" t="s">
        <v>503</v>
      </c>
      <c r="G590" s="6"/>
    </row>
    <row r="591" customFormat="false" ht="15" hidden="false" customHeight="false" outlineLevel="0" collapsed="false">
      <c r="A591" s="6"/>
      <c r="B591" s="7"/>
      <c r="C591" s="4" t="n">
        <v>6</v>
      </c>
      <c r="D591" s="6" t="s">
        <v>501</v>
      </c>
      <c r="E591" s="7" t="s">
        <v>750</v>
      </c>
      <c r="F591" s="7" t="s">
        <v>503</v>
      </c>
      <c r="G591" s="6"/>
    </row>
    <row r="592" customFormat="false" ht="15" hidden="false" customHeight="false" outlineLevel="0" collapsed="false">
      <c r="A592" s="6"/>
      <c r="B592" s="7"/>
      <c r="C592" s="4" t="n">
        <v>7</v>
      </c>
      <c r="D592" s="6" t="s">
        <v>501</v>
      </c>
      <c r="E592" s="7" t="s">
        <v>510</v>
      </c>
      <c r="F592" s="7" t="s">
        <v>503</v>
      </c>
      <c r="G592" s="6"/>
    </row>
    <row r="593" customFormat="false" ht="15" hidden="false" customHeight="false" outlineLevel="0" collapsed="false">
      <c r="A593" s="6"/>
      <c r="B593" s="7"/>
      <c r="C593" s="4" t="n">
        <v>8</v>
      </c>
      <c r="D593" s="6" t="s">
        <v>501</v>
      </c>
      <c r="E593" s="7" t="s">
        <v>751</v>
      </c>
      <c r="F593" s="7" t="s">
        <v>503</v>
      </c>
      <c r="G593" s="6"/>
    </row>
    <row r="594" customFormat="false" ht="15" hidden="false" customHeight="false" outlineLevel="0" collapsed="false">
      <c r="A594" s="6"/>
      <c r="B594" s="7"/>
      <c r="C594" s="4" t="n">
        <v>9</v>
      </c>
      <c r="D594" s="6" t="s">
        <v>501</v>
      </c>
      <c r="E594" s="7" t="s">
        <v>512</v>
      </c>
      <c r="F594" s="7" t="s">
        <v>503</v>
      </c>
      <c r="G594" s="6"/>
    </row>
    <row r="595" customFormat="false" ht="15" hidden="false" customHeight="false" outlineLevel="0" collapsed="false">
      <c r="A595" s="6"/>
      <c r="B595" s="7"/>
      <c r="C595" s="4" t="n">
        <v>10</v>
      </c>
      <c r="D595" s="6" t="s">
        <v>501</v>
      </c>
      <c r="E595" s="7" t="s">
        <v>752</v>
      </c>
      <c r="F595" s="7" t="s">
        <v>503</v>
      </c>
      <c r="G595" s="6"/>
    </row>
    <row r="596" customFormat="false" ht="15" hidden="false" customHeight="false" outlineLevel="0" collapsed="false">
      <c r="A596" s="6"/>
      <c r="B596" s="7"/>
      <c r="C596" s="4" t="n">
        <v>11</v>
      </c>
      <c r="D596" s="6" t="s">
        <v>501</v>
      </c>
      <c r="E596" s="7" t="s">
        <v>753</v>
      </c>
      <c r="F596" s="7" t="s">
        <v>503</v>
      </c>
      <c r="G596" s="6"/>
    </row>
    <row r="597" customFormat="false" ht="15" hidden="false" customHeight="false" outlineLevel="0" collapsed="false">
      <c r="A597" s="6"/>
      <c r="B597" s="7"/>
      <c r="C597" s="4" t="n">
        <v>12</v>
      </c>
      <c r="D597" s="6" t="s">
        <v>501</v>
      </c>
      <c r="E597" s="7" t="s">
        <v>754</v>
      </c>
      <c r="F597" s="7" t="s">
        <v>503</v>
      </c>
      <c r="G597" s="6"/>
    </row>
    <row r="598" customFormat="false" ht="15" hidden="false" customHeight="false" outlineLevel="0" collapsed="false">
      <c r="A598" s="6"/>
      <c r="B598" s="7"/>
      <c r="C598" s="4" t="n">
        <v>13</v>
      </c>
      <c r="D598" s="6" t="s">
        <v>501</v>
      </c>
      <c r="E598" s="7" t="s">
        <v>755</v>
      </c>
      <c r="F598" s="7" t="s">
        <v>503</v>
      </c>
      <c r="G598" s="6"/>
    </row>
    <row r="599" customFormat="false" ht="15" hidden="false" customHeight="false" outlineLevel="0" collapsed="false">
      <c r="A599" s="6"/>
      <c r="B599" s="7"/>
      <c r="C599" s="4" t="n">
        <v>14</v>
      </c>
      <c r="D599" s="6" t="s">
        <v>501</v>
      </c>
      <c r="E599" s="7" t="s">
        <v>756</v>
      </c>
      <c r="F599" s="7" t="s">
        <v>503</v>
      </c>
      <c r="G599" s="6"/>
    </row>
    <row r="600" customFormat="false" ht="15" hidden="false" customHeight="false" outlineLevel="0" collapsed="false">
      <c r="A600" s="6"/>
      <c r="B600" s="7"/>
      <c r="C600" s="4" t="n">
        <v>15</v>
      </c>
      <c r="D600" s="6" t="s">
        <v>501</v>
      </c>
      <c r="E600" s="7" t="s">
        <v>757</v>
      </c>
      <c r="F600" s="7" t="s">
        <v>503</v>
      </c>
      <c r="G600" s="6"/>
    </row>
    <row r="601" customFormat="false" ht="15" hidden="false" customHeight="false" outlineLevel="0" collapsed="false">
      <c r="A601" s="6"/>
      <c r="B601" s="7"/>
      <c r="C601" s="4" t="n">
        <v>16</v>
      </c>
      <c r="D601" s="6" t="s">
        <v>501</v>
      </c>
      <c r="E601" s="7" t="s">
        <v>758</v>
      </c>
      <c r="F601" s="7" t="s">
        <v>503</v>
      </c>
      <c r="G601" s="6"/>
    </row>
    <row r="602" customFormat="false" ht="15" hidden="false" customHeight="false" outlineLevel="0" collapsed="false">
      <c r="A602" s="6"/>
      <c r="B602" s="7"/>
      <c r="C602" s="4" t="n">
        <v>17</v>
      </c>
      <c r="D602" s="6" t="s">
        <v>501</v>
      </c>
      <c r="E602" s="7" t="s">
        <v>759</v>
      </c>
      <c r="F602" s="7" t="s">
        <v>503</v>
      </c>
      <c r="G602" s="6"/>
    </row>
    <row r="603" customFormat="false" ht="15" hidden="false" customHeight="false" outlineLevel="0" collapsed="false">
      <c r="A603" s="6"/>
      <c r="B603" s="7"/>
      <c r="C603" s="4" t="n">
        <v>18</v>
      </c>
      <c r="D603" s="6" t="s">
        <v>501</v>
      </c>
      <c r="E603" s="7" t="s">
        <v>520</v>
      </c>
      <c r="F603" s="7" t="s">
        <v>503</v>
      </c>
      <c r="G603" s="6"/>
    </row>
    <row r="604" customFormat="false" ht="15" hidden="false" customHeight="false" outlineLevel="0" collapsed="false">
      <c r="A604" s="6"/>
      <c r="B604" s="7"/>
      <c r="C604" s="4" t="n">
        <v>19</v>
      </c>
      <c r="D604" s="6" t="s">
        <v>501</v>
      </c>
      <c r="E604" s="7" t="s">
        <v>760</v>
      </c>
      <c r="F604" s="7" t="s">
        <v>503</v>
      </c>
      <c r="G604" s="6"/>
    </row>
    <row r="605" customFormat="false" ht="15" hidden="false" customHeight="false" outlineLevel="0" collapsed="false">
      <c r="A605" s="6"/>
      <c r="B605" s="7"/>
      <c r="C605" s="4" t="n">
        <v>20</v>
      </c>
      <c r="D605" s="6" t="s">
        <v>501</v>
      </c>
      <c r="E605" s="7" t="s">
        <v>761</v>
      </c>
      <c r="F605" s="7" t="s">
        <v>503</v>
      </c>
      <c r="G605" s="6"/>
    </row>
    <row r="606" customFormat="false" ht="15" hidden="false" customHeight="false" outlineLevel="0" collapsed="false">
      <c r="A606" s="10" t="n">
        <v>18</v>
      </c>
      <c r="B606" s="11" t="s">
        <v>59</v>
      </c>
      <c r="C606" s="10" t="s">
        <v>15</v>
      </c>
      <c r="D606" s="10" t="s">
        <v>523</v>
      </c>
      <c r="E606" s="11" t="s">
        <v>524</v>
      </c>
      <c r="F606" s="10" t="s">
        <v>15</v>
      </c>
      <c r="G606" s="10"/>
    </row>
    <row r="607" customFormat="false" ht="15" hidden="false" customHeight="false" outlineLevel="0" collapsed="false">
      <c r="A607" s="6" t="n">
        <v>19</v>
      </c>
      <c r="B607" s="7" t="s">
        <v>64</v>
      </c>
      <c r="C607" s="4" t="n">
        <v>1</v>
      </c>
      <c r="D607" s="6" t="s">
        <v>501</v>
      </c>
      <c r="E607" s="7" t="s">
        <v>762</v>
      </c>
      <c r="F607" s="7" t="s">
        <v>503</v>
      </c>
      <c r="G607" s="6"/>
    </row>
    <row r="608" customFormat="false" ht="15" hidden="false" customHeight="false" outlineLevel="0" collapsed="false">
      <c r="A608" s="6"/>
      <c r="B608" s="7"/>
      <c r="C608" s="4" t="n">
        <v>2</v>
      </c>
      <c r="D608" s="6" t="s">
        <v>501</v>
      </c>
      <c r="E608" s="7" t="s">
        <v>763</v>
      </c>
      <c r="F608" s="7" t="s">
        <v>503</v>
      </c>
      <c r="G608" s="6"/>
    </row>
    <row r="609" customFormat="false" ht="15" hidden="false" customHeight="false" outlineLevel="0" collapsed="false">
      <c r="A609" s="6"/>
      <c r="B609" s="7"/>
      <c r="C609" s="4" t="n">
        <v>3</v>
      </c>
      <c r="D609" s="6" t="s">
        <v>501</v>
      </c>
      <c r="E609" s="7" t="s">
        <v>764</v>
      </c>
      <c r="F609" s="7" t="s">
        <v>503</v>
      </c>
      <c r="G609" s="6"/>
    </row>
    <row r="610" customFormat="false" ht="15" hidden="false" customHeight="false" outlineLevel="0" collapsed="false">
      <c r="A610" s="6"/>
      <c r="B610" s="7"/>
      <c r="C610" s="4" t="n">
        <v>4</v>
      </c>
      <c r="D610" s="6" t="s">
        <v>501</v>
      </c>
      <c r="E610" s="7" t="s">
        <v>765</v>
      </c>
      <c r="F610" s="7" t="s">
        <v>503</v>
      </c>
      <c r="G610" s="6"/>
    </row>
    <row r="611" customFormat="false" ht="15" hidden="false" customHeight="false" outlineLevel="0" collapsed="false">
      <c r="A611" s="6"/>
      <c r="B611" s="7"/>
      <c r="C611" s="4" t="n">
        <v>5</v>
      </c>
      <c r="D611" s="6" t="s">
        <v>501</v>
      </c>
      <c r="E611" s="7" t="s">
        <v>766</v>
      </c>
      <c r="F611" s="7" t="s">
        <v>503</v>
      </c>
      <c r="G611" s="6"/>
    </row>
    <row r="612" customFormat="false" ht="15" hidden="false" customHeight="false" outlineLevel="0" collapsed="false">
      <c r="A612" s="6"/>
      <c r="B612" s="7"/>
      <c r="C612" s="4" t="n">
        <v>6</v>
      </c>
      <c r="D612" s="6" t="s">
        <v>501</v>
      </c>
      <c r="E612" s="7" t="s">
        <v>767</v>
      </c>
      <c r="F612" s="7" t="s">
        <v>503</v>
      </c>
      <c r="G612" s="6"/>
    </row>
    <row r="613" customFormat="false" ht="15" hidden="false" customHeight="false" outlineLevel="0" collapsed="false">
      <c r="A613" s="6"/>
      <c r="B613" s="7"/>
      <c r="C613" s="4" t="n">
        <v>7</v>
      </c>
      <c r="D613" s="6" t="s">
        <v>501</v>
      </c>
      <c r="E613" s="7" t="s">
        <v>768</v>
      </c>
      <c r="F613" s="7" t="s">
        <v>503</v>
      </c>
      <c r="G613" s="6"/>
    </row>
    <row r="614" customFormat="false" ht="15" hidden="false" customHeight="false" outlineLevel="0" collapsed="false">
      <c r="A614" s="6"/>
      <c r="B614" s="7"/>
      <c r="C614" s="4" t="n">
        <v>8</v>
      </c>
      <c r="D614" s="6" t="s">
        <v>501</v>
      </c>
      <c r="E614" s="7" t="s">
        <v>769</v>
      </c>
      <c r="F614" s="7" t="s">
        <v>503</v>
      </c>
      <c r="G614" s="6"/>
    </row>
    <row r="615" customFormat="false" ht="15" hidden="false" customHeight="false" outlineLevel="0" collapsed="false">
      <c r="A615" s="6"/>
      <c r="B615" s="7"/>
      <c r="C615" s="4" t="n">
        <v>9</v>
      </c>
      <c r="D615" s="6" t="s">
        <v>501</v>
      </c>
      <c r="E615" s="7" t="s">
        <v>770</v>
      </c>
      <c r="F615" s="7" t="s">
        <v>503</v>
      </c>
      <c r="G615" s="6"/>
    </row>
    <row r="616" customFormat="false" ht="15" hidden="false" customHeight="false" outlineLevel="0" collapsed="false">
      <c r="A616" s="6"/>
      <c r="B616" s="7"/>
      <c r="C616" s="4" t="n">
        <v>10</v>
      </c>
      <c r="D616" s="6" t="s">
        <v>501</v>
      </c>
      <c r="E616" s="7" t="s">
        <v>771</v>
      </c>
      <c r="F616" s="7" t="s">
        <v>503</v>
      </c>
      <c r="G616" s="6"/>
    </row>
    <row r="617" customFormat="false" ht="15" hidden="false" customHeight="false" outlineLevel="0" collapsed="false">
      <c r="A617" s="6"/>
      <c r="B617" s="7"/>
      <c r="C617" s="4" t="n">
        <v>11</v>
      </c>
      <c r="D617" s="6" t="s">
        <v>501</v>
      </c>
      <c r="E617" s="7" t="s">
        <v>772</v>
      </c>
      <c r="F617" s="7" t="s">
        <v>503</v>
      </c>
      <c r="G617" s="6"/>
    </row>
    <row r="618" customFormat="false" ht="15" hidden="false" customHeight="false" outlineLevel="0" collapsed="false">
      <c r="A618" s="6"/>
      <c r="B618" s="7"/>
      <c r="C618" s="4" t="n">
        <v>12</v>
      </c>
      <c r="D618" s="6" t="s">
        <v>501</v>
      </c>
      <c r="E618" s="7" t="s">
        <v>773</v>
      </c>
      <c r="F618" s="7" t="s">
        <v>503</v>
      </c>
      <c r="G618" s="6"/>
    </row>
    <row r="619" customFormat="false" ht="15" hidden="false" customHeight="false" outlineLevel="0" collapsed="false">
      <c r="A619" s="6"/>
      <c r="B619" s="7"/>
      <c r="C619" s="4" t="n">
        <v>13</v>
      </c>
      <c r="D619" s="6" t="s">
        <v>501</v>
      </c>
      <c r="E619" s="7" t="s">
        <v>774</v>
      </c>
      <c r="F619" s="7" t="s">
        <v>503</v>
      </c>
      <c r="G619" s="6"/>
    </row>
    <row r="620" customFormat="false" ht="15" hidden="false" customHeight="false" outlineLevel="0" collapsed="false">
      <c r="A620" s="6"/>
      <c r="B620" s="7"/>
      <c r="C620" s="4" t="n">
        <v>14</v>
      </c>
      <c r="D620" s="6" t="s">
        <v>501</v>
      </c>
      <c r="E620" s="7" t="s">
        <v>775</v>
      </c>
      <c r="F620" s="7" t="s">
        <v>503</v>
      </c>
      <c r="G620" s="6"/>
    </row>
    <row r="621" customFormat="false" ht="15" hidden="false" customHeight="false" outlineLevel="0" collapsed="false">
      <c r="A621" s="6"/>
      <c r="B621" s="7"/>
      <c r="C621" s="4" t="n">
        <v>15</v>
      </c>
      <c r="D621" s="6" t="s">
        <v>501</v>
      </c>
      <c r="E621" s="7" t="s">
        <v>776</v>
      </c>
      <c r="F621" s="7" t="s">
        <v>503</v>
      </c>
      <c r="G621" s="6"/>
    </row>
    <row r="622" customFormat="false" ht="15" hidden="false" customHeight="false" outlineLevel="0" collapsed="false">
      <c r="A622" s="6"/>
      <c r="B622" s="7"/>
      <c r="C622" s="4" t="n">
        <v>16</v>
      </c>
      <c r="D622" s="6" t="s">
        <v>501</v>
      </c>
      <c r="E622" s="7" t="s">
        <v>777</v>
      </c>
      <c r="F622" s="7" t="s">
        <v>503</v>
      </c>
      <c r="G622" s="6"/>
    </row>
    <row r="623" customFormat="false" ht="15" hidden="false" customHeight="false" outlineLevel="0" collapsed="false">
      <c r="A623" s="6"/>
      <c r="B623" s="7"/>
      <c r="C623" s="4" t="n">
        <v>17</v>
      </c>
      <c r="D623" s="6" t="s">
        <v>501</v>
      </c>
      <c r="E623" s="7" t="s">
        <v>778</v>
      </c>
      <c r="F623" s="7" t="s">
        <v>503</v>
      </c>
      <c r="G623" s="6"/>
    </row>
    <row r="624" customFormat="false" ht="15" hidden="false" customHeight="false" outlineLevel="0" collapsed="false">
      <c r="A624" s="6"/>
      <c r="B624" s="7"/>
      <c r="C624" s="4" t="n">
        <v>18</v>
      </c>
      <c r="D624" s="6" t="s">
        <v>501</v>
      </c>
      <c r="E624" s="7" t="s">
        <v>779</v>
      </c>
      <c r="F624" s="7" t="s">
        <v>503</v>
      </c>
      <c r="G624" s="6"/>
    </row>
    <row r="625" customFormat="false" ht="15" hidden="false" customHeight="false" outlineLevel="0" collapsed="false">
      <c r="A625" s="6"/>
      <c r="B625" s="7"/>
      <c r="C625" s="4" t="n">
        <v>19</v>
      </c>
      <c r="D625" s="6" t="s">
        <v>501</v>
      </c>
      <c r="E625" s="7" t="s">
        <v>173</v>
      </c>
      <c r="F625" s="7" t="s">
        <v>503</v>
      </c>
      <c r="G625" s="6"/>
    </row>
    <row r="626" customFormat="false" ht="15" hidden="false" customHeight="false" outlineLevel="0" collapsed="false">
      <c r="A626" s="6"/>
      <c r="B626" s="7"/>
      <c r="C626" s="4" t="n">
        <v>20</v>
      </c>
      <c r="D626" s="6" t="s">
        <v>501</v>
      </c>
      <c r="E626" s="7" t="s">
        <v>148</v>
      </c>
      <c r="F626" s="7" t="s">
        <v>503</v>
      </c>
      <c r="G626" s="6"/>
    </row>
    <row r="627" customFormat="false" ht="15" hidden="false" customHeight="false" outlineLevel="0" collapsed="false">
      <c r="A627" s="10" t="n">
        <v>20</v>
      </c>
      <c r="B627" s="11" t="s">
        <v>66</v>
      </c>
      <c r="C627" s="10" t="s">
        <v>15</v>
      </c>
      <c r="D627" s="10" t="s">
        <v>523</v>
      </c>
      <c r="E627" s="11" t="s">
        <v>524</v>
      </c>
      <c r="F627" s="10" t="s">
        <v>15</v>
      </c>
      <c r="G627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780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781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177</v>
      </c>
      <c r="C4" s="3" t="s">
        <v>782</v>
      </c>
      <c r="D4" s="3" t="s">
        <v>783</v>
      </c>
      <c r="E4" s="3" t="s">
        <v>784</v>
      </c>
      <c r="F4" s="3" t="s">
        <v>785</v>
      </c>
      <c r="G4" s="3" t="s">
        <v>786</v>
      </c>
      <c r="H4" s="3" t="s">
        <v>787</v>
      </c>
      <c r="I4" s="3" t="s">
        <v>788</v>
      </c>
    </row>
    <row r="5" customFormat="false" ht="23.85" hidden="false" customHeight="false" outlineLevel="0" collapsed="false">
      <c r="A5" s="4" t="n">
        <v>1</v>
      </c>
      <c r="B5" s="7" t="s">
        <v>13</v>
      </c>
      <c r="C5" s="6" t="s">
        <v>789</v>
      </c>
      <c r="D5" s="7" t="s">
        <v>790</v>
      </c>
      <c r="E5" s="7" t="s">
        <v>791</v>
      </c>
      <c r="F5" s="7" t="s">
        <v>792</v>
      </c>
      <c r="G5" s="7" t="s">
        <v>793</v>
      </c>
      <c r="H5" s="7" t="s">
        <v>794</v>
      </c>
      <c r="I5" s="6" t="s">
        <v>795</v>
      </c>
    </row>
    <row r="6" customFormat="false" ht="23.85" hidden="false" customHeight="false" outlineLevel="0" collapsed="false">
      <c r="A6" s="4"/>
      <c r="B6" s="7"/>
      <c r="C6" s="6" t="s">
        <v>796</v>
      </c>
      <c r="D6" s="7" t="s">
        <v>797</v>
      </c>
      <c r="E6" s="7" t="s">
        <v>798</v>
      </c>
      <c r="F6" s="7" t="s">
        <v>799</v>
      </c>
      <c r="G6" s="7" t="s">
        <v>800</v>
      </c>
      <c r="H6" s="7" t="s">
        <v>801</v>
      </c>
      <c r="I6" s="6" t="s">
        <v>802</v>
      </c>
    </row>
    <row r="7" customFormat="false" ht="23.85" hidden="false" customHeight="false" outlineLevel="0" collapsed="false">
      <c r="A7" s="4"/>
      <c r="B7" s="7"/>
      <c r="C7" s="6" t="s">
        <v>803</v>
      </c>
      <c r="D7" s="7" t="s">
        <v>804</v>
      </c>
      <c r="E7" s="7" t="s">
        <v>805</v>
      </c>
      <c r="F7" s="7" t="s">
        <v>799</v>
      </c>
      <c r="G7" s="7" t="s">
        <v>806</v>
      </c>
      <c r="H7" s="7" t="s">
        <v>807</v>
      </c>
      <c r="I7" s="6" t="s">
        <v>808</v>
      </c>
    </row>
    <row r="8" customFormat="false" ht="23.85" hidden="false" customHeight="false" outlineLevel="0" collapsed="false">
      <c r="A8" s="8" t="n">
        <v>2</v>
      </c>
      <c r="B8" s="11" t="s">
        <v>16</v>
      </c>
      <c r="C8" s="10" t="s">
        <v>789</v>
      </c>
      <c r="D8" s="11" t="s">
        <v>809</v>
      </c>
      <c r="E8" s="11" t="s">
        <v>810</v>
      </c>
      <c r="F8" s="11" t="s">
        <v>811</v>
      </c>
      <c r="G8" s="11" t="s">
        <v>812</v>
      </c>
      <c r="H8" s="11" t="s">
        <v>813</v>
      </c>
      <c r="I8" s="10" t="s">
        <v>795</v>
      </c>
    </row>
    <row r="9" customFormat="false" ht="23.85" hidden="false" customHeight="false" outlineLevel="0" collapsed="false">
      <c r="A9" s="8"/>
      <c r="B9" s="11"/>
      <c r="C9" s="10" t="s">
        <v>796</v>
      </c>
      <c r="D9" s="11" t="s">
        <v>814</v>
      </c>
      <c r="E9" s="11" t="s">
        <v>815</v>
      </c>
      <c r="F9" s="11" t="s">
        <v>792</v>
      </c>
      <c r="G9" s="11" t="s">
        <v>816</v>
      </c>
      <c r="H9" s="11" t="s">
        <v>817</v>
      </c>
      <c r="I9" s="10" t="s">
        <v>802</v>
      </c>
    </row>
    <row r="10" customFormat="false" ht="23.85" hidden="false" customHeight="false" outlineLevel="0" collapsed="false">
      <c r="A10" s="8"/>
      <c r="B10" s="11"/>
      <c r="C10" s="10" t="s">
        <v>803</v>
      </c>
      <c r="D10" s="11" t="s">
        <v>818</v>
      </c>
      <c r="E10" s="11" t="s">
        <v>819</v>
      </c>
      <c r="F10" s="11" t="s">
        <v>820</v>
      </c>
      <c r="G10" s="11" t="s">
        <v>821</v>
      </c>
      <c r="H10" s="11" t="s">
        <v>822</v>
      </c>
      <c r="I10" s="10" t="s">
        <v>808</v>
      </c>
    </row>
    <row r="11" customFormat="false" ht="23.85" hidden="false" customHeight="false" outlineLevel="0" collapsed="false">
      <c r="A11" s="4" t="n">
        <v>3</v>
      </c>
      <c r="B11" s="7" t="s">
        <v>18</v>
      </c>
      <c r="C11" s="6" t="s">
        <v>789</v>
      </c>
      <c r="D11" s="7" t="s">
        <v>823</v>
      </c>
      <c r="E11" s="7" t="s">
        <v>824</v>
      </c>
      <c r="F11" s="7" t="s">
        <v>825</v>
      </c>
      <c r="G11" s="7" t="s">
        <v>826</v>
      </c>
      <c r="H11" s="7" t="s">
        <v>827</v>
      </c>
      <c r="I11" s="6" t="s">
        <v>795</v>
      </c>
    </row>
    <row r="12" customFormat="false" ht="23.85" hidden="false" customHeight="false" outlineLevel="0" collapsed="false">
      <c r="A12" s="4"/>
      <c r="B12" s="7"/>
      <c r="C12" s="6" t="s">
        <v>796</v>
      </c>
      <c r="D12" s="7" t="s">
        <v>828</v>
      </c>
      <c r="E12" s="7" t="s">
        <v>829</v>
      </c>
      <c r="F12" s="7" t="s">
        <v>830</v>
      </c>
      <c r="G12" s="7" t="s">
        <v>831</v>
      </c>
      <c r="H12" s="7" t="s">
        <v>832</v>
      </c>
      <c r="I12" s="6" t="s">
        <v>802</v>
      </c>
    </row>
    <row r="13" customFormat="false" ht="23.85" hidden="false" customHeight="false" outlineLevel="0" collapsed="false">
      <c r="A13" s="4"/>
      <c r="B13" s="7"/>
      <c r="C13" s="6" t="s">
        <v>803</v>
      </c>
      <c r="D13" s="7" t="s">
        <v>833</v>
      </c>
      <c r="E13" s="7" t="s">
        <v>834</v>
      </c>
      <c r="F13" s="7" t="s">
        <v>835</v>
      </c>
      <c r="G13" s="7" t="s">
        <v>836</v>
      </c>
      <c r="H13" s="7" t="s">
        <v>837</v>
      </c>
      <c r="I13" s="6" t="s">
        <v>808</v>
      </c>
    </row>
    <row r="14" customFormat="false" ht="35.05" hidden="false" customHeight="false" outlineLevel="0" collapsed="false">
      <c r="A14" s="8" t="n">
        <v>4</v>
      </c>
      <c r="B14" s="11" t="s">
        <v>21</v>
      </c>
      <c r="C14" s="10" t="s">
        <v>789</v>
      </c>
      <c r="D14" s="11" t="s">
        <v>838</v>
      </c>
      <c r="E14" s="11" t="s">
        <v>839</v>
      </c>
      <c r="F14" s="11" t="s">
        <v>840</v>
      </c>
      <c r="G14" s="11" t="s">
        <v>841</v>
      </c>
      <c r="H14" s="11" t="s">
        <v>842</v>
      </c>
      <c r="I14" s="10" t="s">
        <v>795</v>
      </c>
    </row>
    <row r="15" customFormat="false" ht="23.85" hidden="false" customHeight="false" outlineLevel="0" collapsed="false">
      <c r="A15" s="8"/>
      <c r="B15" s="11"/>
      <c r="C15" s="10" t="s">
        <v>796</v>
      </c>
      <c r="D15" s="11" t="s">
        <v>843</v>
      </c>
      <c r="E15" s="11" t="s">
        <v>844</v>
      </c>
      <c r="F15" s="11" t="s">
        <v>845</v>
      </c>
      <c r="G15" s="11" t="s">
        <v>846</v>
      </c>
      <c r="H15" s="11" t="s">
        <v>847</v>
      </c>
      <c r="I15" s="10" t="s">
        <v>802</v>
      </c>
    </row>
    <row r="16" customFormat="false" ht="23.85" hidden="false" customHeight="false" outlineLevel="0" collapsed="false">
      <c r="A16" s="8"/>
      <c r="B16" s="11"/>
      <c r="C16" s="10" t="s">
        <v>803</v>
      </c>
      <c r="D16" s="11" t="s">
        <v>848</v>
      </c>
      <c r="E16" s="11" t="s">
        <v>849</v>
      </c>
      <c r="F16" s="11" t="s">
        <v>850</v>
      </c>
      <c r="G16" s="11" t="s">
        <v>851</v>
      </c>
      <c r="H16" s="11" t="s">
        <v>852</v>
      </c>
      <c r="I16" s="10" t="s">
        <v>808</v>
      </c>
    </row>
    <row r="17" customFormat="false" ht="35.05" hidden="false" customHeight="false" outlineLevel="0" collapsed="false">
      <c r="A17" s="4" t="n">
        <v>5</v>
      </c>
      <c r="B17" s="7" t="s">
        <v>23</v>
      </c>
      <c r="C17" s="6" t="s">
        <v>789</v>
      </c>
      <c r="D17" s="7" t="s">
        <v>853</v>
      </c>
      <c r="E17" s="7" t="s">
        <v>854</v>
      </c>
      <c r="F17" s="7" t="s">
        <v>855</v>
      </c>
      <c r="G17" s="7" t="s">
        <v>856</v>
      </c>
      <c r="H17" s="7" t="s">
        <v>857</v>
      </c>
      <c r="I17" s="6" t="s">
        <v>795</v>
      </c>
    </row>
    <row r="18" customFormat="false" ht="23.85" hidden="false" customHeight="false" outlineLevel="0" collapsed="false">
      <c r="A18" s="4"/>
      <c r="B18" s="7"/>
      <c r="C18" s="6" t="s">
        <v>796</v>
      </c>
      <c r="D18" s="7" t="s">
        <v>858</v>
      </c>
      <c r="E18" s="7" t="s">
        <v>859</v>
      </c>
      <c r="F18" s="7" t="s">
        <v>860</v>
      </c>
      <c r="G18" s="7" t="s">
        <v>861</v>
      </c>
      <c r="H18" s="7" t="s">
        <v>862</v>
      </c>
      <c r="I18" s="6" t="s">
        <v>802</v>
      </c>
    </row>
    <row r="19" customFormat="false" ht="23.85" hidden="false" customHeight="false" outlineLevel="0" collapsed="false">
      <c r="A19" s="4"/>
      <c r="B19" s="7"/>
      <c r="C19" s="6" t="s">
        <v>803</v>
      </c>
      <c r="D19" s="7" t="s">
        <v>863</v>
      </c>
      <c r="E19" s="7" t="s">
        <v>864</v>
      </c>
      <c r="F19" s="7" t="s">
        <v>860</v>
      </c>
      <c r="G19" s="7" t="s">
        <v>865</v>
      </c>
      <c r="H19" s="7" t="s">
        <v>866</v>
      </c>
      <c r="I19" s="6" t="s">
        <v>808</v>
      </c>
    </row>
    <row r="20" customFormat="false" ht="35.05" hidden="false" customHeight="false" outlineLevel="0" collapsed="false">
      <c r="A20" s="8" t="n">
        <v>6</v>
      </c>
      <c r="B20" s="11" t="s">
        <v>26</v>
      </c>
      <c r="C20" s="10" t="s">
        <v>789</v>
      </c>
      <c r="D20" s="11" t="s">
        <v>867</v>
      </c>
      <c r="E20" s="11" t="s">
        <v>868</v>
      </c>
      <c r="F20" s="11" t="s">
        <v>869</v>
      </c>
      <c r="G20" s="11" t="s">
        <v>870</v>
      </c>
      <c r="H20" s="11" t="s">
        <v>871</v>
      </c>
      <c r="I20" s="10" t="s">
        <v>795</v>
      </c>
    </row>
    <row r="21" customFormat="false" ht="23.85" hidden="false" customHeight="false" outlineLevel="0" collapsed="false">
      <c r="A21" s="8"/>
      <c r="B21" s="11"/>
      <c r="C21" s="10" t="s">
        <v>796</v>
      </c>
      <c r="D21" s="11" t="s">
        <v>872</v>
      </c>
      <c r="E21" s="11" t="s">
        <v>873</v>
      </c>
      <c r="F21" s="11" t="s">
        <v>825</v>
      </c>
      <c r="G21" s="11" t="s">
        <v>874</v>
      </c>
      <c r="H21" s="11" t="s">
        <v>875</v>
      </c>
      <c r="I21" s="10" t="s">
        <v>802</v>
      </c>
    </row>
    <row r="22" customFormat="false" ht="23.85" hidden="false" customHeight="false" outlineLevel="0" collapsed="false">
      <c r="A22" s="8"/>
      <c r="B22" s="11"/>
      <c r="C22" s="10" t="s">
        <v>803</v>
      </c>
      <c r="D22" s="11" t="s">
        <v>876</v>
      </c>
      <c r="E22" s="11" t="s">
        <v>877</v>
      </c>
      <c r="F22" s="11" t="s">
        <v>830</v>
      </c>
      <c r="G22" s="11" t="s">
        <v>878</v>
      </c>
      <c r="H22" s="11" t="s">
        <v>879</v>
      </c>
      <c r="I22" s="10" t="s">
        <v>808</v>
      </c>
    </row>
    <row r="23" customFormat="false" ht="23.85" hidden="false" customHeight="false" outlineLevel="0" collapsed="false">
      <c r="A23" s="4" t="n">
        <v>7</v>
      </c>
      <c r="B23" s="7" t="s">
        <v>28</v>
      </c>
      <c r="C23" s="6" t="s">
        <v>789</v>
      </c>
      <c r="D23" s="7" t="s">
        <v>880</v>
      </c>
      <c r="E23" s="7" t="s">
        <v>881</v>
      </c>
      <c r="F23" s="7" t="s">
        <v>882</v>
      </c>
      <c r="G23" s="7" t="s">
        <v>883</v>
      </c>
      <c r="H23" s="7" t="s">
        <v>884</v>
      </c>
      <c r="I23" s="6" t="s">
        <v>795</v>
      </c>
    </row>
    <row r="24" customFormat="false" ht="23.85" hidden="false" customHeight="false" outlineLevel="0" collapsed="false">
      <c r="A24" s="4"/>
      <c r="B24" s="7"/>
      <c r="C24" s="6" t="s">
        <v>796</v>
      </c>
      <c r="D24" s="7" t="s">
        <v>885</v>
      </c>
      <c r="E24" s="7" t="s">
        <v>886</v>
      </c>
      <c r="F24" s="7" t="s">
        <v>825</v>
      </c>
      <c r="G24" s="7" t="s">
        <v>887</v>
      </c>
      <c r="H24" s="7" t="s">
        <v>888</v>
      </c>
      <c r="I24" s="6" t="s">
        <v>802</v>
      </c>
    </row>
    <row r="25" customFormat="false" ht="15" hidden="false" customHeight="false" outlineLevel="0" collapsed="false">
      <c r="A25" s="4"/>
      <c r="B25" s="7"/>
      <c r="C25" s="6" t="s">
        <v>803</v>
      </c>
      <c r="D25" s="7" t="s">
        <v>889</v>
      </c>
      <c r="E25" s="7" t="s">
        <v>890</v>
      </c>
      <c r="F25" s="7" t="s">
        <v>891</v>
      </c>
      <c r="G25" s="7" t="s">
        <v>892</v>
      </c>
      <c r="H25" s="7" t="s">
        <v>893</v>
      </c>
      <c r="I25" s="6" t="s">
        <v>808</v>
      </c>
    </row>
    <row r="26" customFormat="false" ht="23.85" hidden="false" customHeight="false" outlineLevel="0" collapsed="false">
      <c r="A26" s="8" t="n">
        <v>8</v>
      </c>
      <c r="B26" s="11" t="s">
        <v>31</v>
      </c>
      <c r="C26" s="10" t="s">
        <v>789</v>
      </c>
      <c r="D26" s="11" t="s">
        <v>894</v>
      </c>
      <c r="E26" s="11" t="s">
        <v>895</v>
      </c>
      <c r="F26" s="11" t="s">
        <v>825</v>
      </c>
      <c r="G26" s="11" t="s">
        <v>896</v>
      </c>
      <c r="H26" s="11" t="s">
        <v>897</v>
      </c>
      <c r="I26" s="10" t="s">
        <v>795</v>
      </c>
    </row>
    <row r="27" customFormat="false" ht="23.85" hidden="false" customHeight="false" outlineLevel="0" collapsed="false">
      <c r="A27" s="8"/>
      <c r="B27" s="11"/>
      <c r="C27" s="10" t="s">
        <v>796</v>
      </c>
      <c r="D27" s="11" t="s">
        <v>898</v>
      </c>
      <c r="E27" s="11" t="s">
        <v>899</v>
      </c>
      <c r="F27" s="11" t="s">
        <v>900</v>
      </c>
      <c r="G27" s="11" t="s">
        <v>901</v>
      </c>
      <c r="H27" s="11" t="s">
        <v>902</v>
      </c>
      <c r="I27" s="10" t="s">
        <v>802</v>
      </c>
    </row>
    <row r="28" customFormat="false" ht="23.85" hidden="false" customHeight="false" outlineLevel="0" collapsed="false">
      <c r="A28" s="8"/>
      <c r="B28" s="11"/>
      <c r="C28" s="10" t="s">
        <v>803</v>
      </c>
      <c r="D28" s="11" t="s">
        <v>903</v>
      </c>
      <c r="E28" s="11" t="s">
        <v>904</v>
      </c>
      <c r="F28" s="11" t="s">
        <v>905</v>
      </c>
      <c r="G28" s="11" t="s">
        <v>906</v>
      </c>
      <c r="H28" s="11" t="s">
        <v>907</v>
      </c>
      <c r="I28" s="10" t="s">
        <v>808</v>
      </c>
    </row>
    <row r="29" customFormat="false" ht="23.85" hidden="false" customHeight="false" outlineLevel="0" collapsed="false">
      <c r="A29" s="4" t="n">
        <v>11</v>
      </c>
      <c r="B29" s="7" t="s">
        <v>41</v>
      </c>
      <c r="C29" s="6" t="s">
        <v>789</v>
      </c>
      <c r="D29" s="7" t="s">
        <v>908</v>
      </c>
      <c r="E29" s="7" t="s">
        <v>909</v>
      </c>
      <c r="F29" s="7" t="s">
        <v>830</v>
      </c>
      <c r="G29" s="7" t="s">
        <v>910</v>
      </c>
      <c r="H29" s="7" t="s">
        <v>911</v>
      </c>
      <c r="I29" s="6" t="s">
        <v>795</v>
      </c>
    </row>
    <row r="30" customFormat="false" ht="23.85" hidden="false" customHeight="false" outlineLevel="0" collapsed="false">
      <c r="A30" s="4"/>
      <c r="B30" s="7"/>
      <c r="C30" s="6" t="s">
        <v>796</v>
      </c>
      <c r="D30" s="7" t="s">
        <v>912</v>
      </c>
      <c r="E30" s="7" t="s">
        <v>913</v>
      </c>
      <c r="F30" s="7" t="s">
        <v>914</v>
      </c>
      <c r="G30" s="7" t="s">
        <v>915</v>
      </c>
      <c r="H30" s="7" t="s">
        <v>916</v>
      </c>
      <c r="I30" s="6" t="s">
        <v>802</v>
      </c>
    </row>
    <row r="31" customFormat="false" ht="15" hidden="false" customHeight="false" outlineLevel="0" collapsed="false">
      <c r="A31" s="4"/>
      <c r="B31" s="7"/>
      <c r="C31" s="6" t="s">
        <v>803</v>
      </c>
      <c r="D31" s="7" t="s">
        <v>917</v>
      </c>
      <c r="E31" s="7" t="s">
        <v>918</v>
      </c>
      <c r="F31" s="7" t="s">
        <v>919</v>
      </c>
      <c r="G31" s="7" t="s">
        <v>920</v>
      </c>
      <c r="H31" s="7" t="s">
        <v>921</v>
      </c>
      <c r="I31" s="6" t="s">
        <v>808</v>
      </c>
    </row>
    <row r="32" customFormat="false" ht="35.05" hidden="false" customHeight="false" outlineLevel="0" collapsed="false">
      <c r="A32" s="8" t="n">
        <v>12</v>
      </c>
      <c r="B32" s="11" t="s">
        <v>43</v>
      </c>
      <c r="C32" s="10" t="s">
        <v>789</v>
      </c>
      <c r="D32" s="11" t="s">
        <v>922</v>
      </c>
      <c r="E32" s="11" t="s">
        <v>923</v>
      </c>
      <c r="F32" s="11" t="s">
        <v>869</v>
      </c>
      <c r="G32" s="11" t="s">
        <v>924</v>
      </c>
      <c r="H32" s="11" t="s">
        <v>925</v>
      </c>
      <c r="I32" s="10" t="s">
        <v>795</v>
      </c>
    </row>
    <row r="33" customFormat="false" ht="23.85" hidden="false" customHeight="false" outlineLevel="0" collapsed="false">
      <c r="A33" s="8"/>
      <c r="B33" s="11"/>
      <c r="C33" s="10" t="s">
        <v>796</v>
      </c>
      <c r="D33" s="11" t="s">
        <v>926</v>
      </c>
      <c r="E33" s="11" t="s">
        <v>927</v>
      </c>
      <c r="F33" s="11" t="s">
        <v>919</v>
      </c>
      <c r="G33" s="11" t="s">
        <v>928</v>
      </c>
      <c r="H33" s="11" t="s">
        <v>929</v>
      </c>
      <c r="I33" s="10" t="s">
        <v>802</v>
      </c>
    </row>
    <row r="34" customFormat="false" ht="15" hidden="false" customHeight="false" outlineLevel="0" collapsed="false">
      <c r="A34" s="8"/>
      <c r="B34" s="11"/>
      <c r="C34" s="10" t="s">
        <v>803</v>
      </c>
      <c r="D34" s="11" t="s">
        <v>930</v>
      </c>
      <c r="E34" s="11" t="s">
        <v>931</v>
      </c>
      <c r="F34" s="11" t="s">
        <v>919</v>
      </c>
      <c r="G34" s="11" t="s">
        <v>932</v>
      </c>
      <c r="H34" s="11" t="s">
        <v>933</v>
      </c>
      <c r="I34" s="10" t="s">
        <v>808</v>
      </c>
    </row>
    <row r="35" customFormat="false" ht="23.85" hidden="false" customHeight="false" outlineLevel="0" collapsed="false">
      <c r="A35" s="4" t="n">
        <v>13</v>
      </c>
      <c r="B35" s="7" t="s">
        <v>46</v>
      </c>
      <c r="C35" s="6" t="s">
        <v>789</v>
      </c>
      <c r="D35" s="7" t="s">
        <v>934</v>
      </c>
      <c r="E35" s="7" t="s">
        <v>935</v>
      </c>
      <c r="F35" s="7" t="s">
        <v>919</v>
      </c>
      <c r="G35" s="7" t="s">
        <v>936</v>
      </c>
      <c r="H35" s="7" t="s">
        <v>937</v>
      </c>
      <c r="I35" s="6" t="s">
        <v>795</v>
      </c>
    </row>
    <row r="36" customFormat="false" ht="23.85" hidden="false" customHeight="false" outlineLevel="0" collapsed="false">
      <c r="A36" s="4"/>
      <c r="B36" s="7"/>
      <c r="C36" s="6" t="s">
        <v>796</v>
      </c>
      <c r="D36" s="7" t="s">
        <v>938</v>
      </c>
      <c r="E36" s="7" t="s">
        <v>939</v>
      </c>
      <c r="F36" s="7" t="s">
        <v>940</v>
      </c>
      <c r="G36" s="7" t="s">
        <v>941</v>
      </c>
      <c r="H36" s="7" t="s">
        <v>942</v>
      </c>
      <c r="I36" s="6" t="s">
        <v>802</v>
      </c>
    </row>
    <row r="37" customFormat="false" ht="15" hidden="false" customHeight="false" outlineLevel="0" collapsed="false">
      <c r="A37" s="4"/>
      <c r="B37" s="7"/>
      <c r="C37" s="6" t="s">
        <v>803</v>
      </c>
      <c r="D37" s="7" t="s">
        <v>943</v>
      </c>
      <c r="E37" s="7" t="s">
        <v>944</v>
      </c>
      <c r="F37" s="7" t="s">
        <v>830</v>
      </c>
      <c r="G37" s="7" t="s">
        <v>945</v>
      </c>
      <c r="H37" s="7" t="s">
        <v>946</v>
      </c>
      <c r="I37" s="6" t="s">
        <v>808</v>
      </c>
    </row>
    <row r="38" customFormat="false" ht="35.05" hidden="false" customHeight="false" outlineLevel="0" collapsed="false">
      <c r="A38" s="8" t="n">
        <v>14</v>
      </c>
      <c r="B38" s="11" t="s">
        <v>48</v>
      </c>
      <c r="C38" s="10" t="s">
        <v>789</v>
      </c>
      <c r="D38" s="11" t="s">
        <v>947</v>
      </c>
      <c r="E38" s="11" t="s">
        <v>948</v>
      </c>
      <c r="F38" s="11" t="s">
        <v>949</v>
      </c>
      <c r="G38" s="11" t="s">
        <v>950</v>
      </c>
      <c r="H38" s="11" t="s">
        <v>951</v>
      </c>
      <c r="I38" s="10" t="s">
        <v>795</v>
      </c>
    </row>
    <row r="39" customFormat="false" ht="23.85" hidden="false" customHeight="false" outlineLevel="0" collapsed="false">
      <c r="A39" s="8"/>
      <c r="B39" s="11"/>
      <c r="C39" s="10" t="s">
        <v>796</v>
      </c>
      <c r="D39" s="11" t="s">
        <v>952</v>
      </c>
      <c r="E39" s="11" t="s">
        <v>953</v>
      </c>
      <c r="F39" s="11" t="s">
        <v>954</v>
      </c>
      <c r="G39" s="11" t="s">
        <v>955</v>
      </c>
      <c r="H39" s="11" t="s">
        <v>956</v>
      </c>
      <c r="I39" s="10" t="s">
        <v>802</v>
      </c>
    </row>
    <row r="40" customFormat="false" ht="23.85" hidden="false" customHeight="false" outlineLevel="0" collapsed="false">
      <c r="A40" s="8"/>
      <c r="B40" s="11"/>
      <c r="C40" s="10" t="s">
        <v>803</v>
      </c>
      <c r="D40" s="11" t="s">
        <v>957</v>
      </c>
      <c r="E40" s="11" t="s">
        <v>958</v>
      </c>
      <c r="F40" s="11" t="s">
        <v>959</v>
      </c>
      <c r="G40" s="11" t="s">
        <v>960</v>
      </c>
      <c r="H40" s="11" t="s">
        <v>961</v>
      </c>
      <c r="I40" s="10" t="s">
        <v>808</v>
      </c>
    </row>
    <row r="41" customFormat="false" ht="23.85" hidden="false" customHeight="false" outlineLevel="0" collapsed="false">
      <c r="A41" s="4" t="n">
        <v>15</v>
      </c>
      <c r="B41" s="7" t="s">
        <v>51</v>
      </c>
      <c r="C41" s="6" t="s">
        <v>789</v>
      </c>
      <c r="D41" s="7" t="s">
        <v>962</v>
      </c>
      <c r="E41" s="7" t="s">
        <v>963</v>
      </c>
      <c r="F41" s="7" t="s">
        <v>964</v>
      </c>
      <c r="G41" s="7" t="s">
        <v>965</v>
      </c>
      <c r="H41" s="7" t="s">
        <v>966</v>
      </c>
      <c r="I41" s="6" t="s">
        <v>795</v>
      </c>
    </row>
    <row r="42" customFormat="false" ht="23.85" hidden="false" customHeight="false" outlineLevel="0" collapsed="false">
      <c r="A42" s="4"/>
      <c r="B42" s="7"/>
      <c r="C42" s="6" t="s">
        <v>796</v>
      </c>
      <c r="D42" s="7" t="s">
        <v>967</v>
      </c>
      <c r="E42" s="7" t="s">
        <v>968</v>
      </c>
      <c r="F42" s="7" t="s">
        <v>964</v>
      </c>
      <c r="G42" s="7" t="s">
        <v>969</v>
      </c>
      <c r="H42" s="7" t="s">
        <v>970</v>
      </c>
      <c r="I42" s="6" t="s">
        <v>802</v>
      </c>
    </row>
    <row r="43" customFormat="false" ht="23.85" hidden="false" customHeight="false" outlineLevel="0" collapsed="false">
      <c r="A43" s="4"/>
      <c r="B43" s="7"/>
      <c r="C43" s="6" t="s">
        <v>803</v>
      </c>
      <c r="D43" s="7" t="s">
        <v>971</v>
      </c>
      <c r="E43" s="7" t="s">
        <v>972</v>
      </c>
      <c r="F43" s="7" t="s">
        <v>949</v>
      </c>
      <c r="G43" s="7" t="s">
        <v>973</v>
      </c>
      <c r="H43" s="7" t="s">
        <v>974</v>
      </c>
      <c r="I43" s="6" t="s">
        <v>808</v>
      </c>
    </row>
    <row r="44" customFormat="false" ht="23.85" hidden="false" customHeight="false" outlineLevel="0" collapsed="false">
      <c r="A44" s="8" t="n">
        <v>16</v>
      </c>
      <c r="B44" s="11" t="s">
        <v>53</v>
      </c>
      <c r="C44" s="10" t="s">
        <v>789</v>
      </c>
      <c r="D44" s="11" t="s">
        <v>975</v>
      </c>
      <c r="E44" s="11" t="s">
        <v>976</v>
      </c>
      <c r="F44" s="11" t="s">
        <v>977</v>
      </c>
      <c r="G44" s="11" t="s">
        <v>978</v>
      </c>
      <c r="H44" s="11" t="s">
        <v>979</v>
      </c>
      <c r="I44" s="10" t="s">
        <v>795</v>
      </c>
    </row>
    <row r="45" customFormat="false" ht="23.85" hidden="false" customHeight="false" outlineLevel="0" collapsed="false">
      <c r="A45" s="8"/>
      <c r="B45" s="11"/>
      <c r="C45" s="10" t="s">
        <v>796</v>
      </c>
      <c r="D45" s="11" t="s">
        <v>980</v>
      </c>
      <c r="E45" s="11" t="s">
        <v>981</v>
      </c>
      <c r="F45" s="11" t="s">
        <v>982</v>
      </c>
      <c r="G45" s="11" t="s">
        <v>983</v>
      </c>
      <c r="H45" s="11" t="s">
        <v>984</v>
      </c>
      <c r="I45" s="10" t="s">
        <v>802</v>
      </c>
    </row>
    <row r="46" customFormat="false" ht="23.85" hidden="false" customHeight="false" outlineLevel="0" collapsed="false">
      <c r="A46" s="8"/>
      <c r="B46" s="11"/>
      <c r="C46" s="10" t="s">
        <v>803</v>
      </c>
      <c r="D46" s="11" t="s">
        <v>985</v>
      </c>
      <c r="E46" s="11" t="s">
        <v>986</v>
      </c>
      <c r="F46" s="11" t="s">
        <v>987</v>
      </c>
      <c r="G46" s="11" t="s">
        <v>988</v>
      </c>
      <c r="H46" s="11" t="s">
        <v>989</v>
      </c>
      <c r="I46" s="10" t="s">
        <v>808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2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24" hidden="false" customHeight="true" outlineLevel="0" collapsed="false">
      <c r="A1" s="1" t="s">
        <v>990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991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782</v>
      </c>
      <c r="B4" s="3" t="s">
        <v>992</v>
      </c>
      <c r="C4" s="3" t="s">
        <v>993</v>
      </c>
      <c r="D4" s="3" t="s">
        <v>994</v>
      </c>
      <c r="E4" s="3" t="s">
        <v>995</v>
      </c>
      <c r="F4" s="3" t="s">
        <v>996</v>
      </c>
      <c r="G4" s="3" t="s">
        <v>997</v>
      </c>
      <c r="H4" s="3" t="s">
        <v>998</v>
      </c>
    </row>
    <row r="5" customFormat="false" ht="15" hidden="false" customHeight="false" outlineLevel="0" collapsed="false">
      <c r="A5" s="6" t="s">
        <v>999</v>
      </c>
      <c r="B5" s="6" t="s">
        <v>1000</v>
      </c>
      <c r="C5" s="15" t="n">
        <v>1</v>
      </c>
      <c r="D5" s="4" t="n">
        <v>1</v>
      </c>
      <c r="E5" s="4" t="n">
        <v>3</v>
      </c>
      <c r="F5" s="7" t="s">
        <v>1001</v>
      </c>
      <c r="G5" s="6" t="s">
        <v>1002</v>
      </c>
      <c r="H5" s="7" t="s">
        <v>1003</v>
      </c>
    </row>
    <row r="6" customFormat="false" ht="23.85" hidden="false" customHeight="false" outlineLevel="0" collapsed="false">
      <c r="A6" s="10" t="s">
        <v>1004</v>
      </c>
      <c r="B6" s="10" t="s">
        <v>1005</v>
      </c>
      <c r="C6" s="16" t="n">
        <v>1</v>
      </c>
      <c r="D6" s="8" t="n">
        <v>3</v>
      </c>
      <c r="E6" s="8" t="n">
        <v>5</v>
      </c>
      <c r="F6" s="11" t="s">
        <v>1006</v>
      </c>
      <c r="G6" s="10" t="s">
        <v>1002</v>
      </c>
      <c r="H6" s="11" t="s">
        <v>1007</v>
      </c>
    </row>
    <row r="7" customFormat="false" ht="23.85" hidden="false" customHeight="false" outlineLevel="0" collapsed="false">
      <c r="A7" s="6" t="s">
        <v>1008</v>
      </c>
      <c r="B7" s="6" t="s">
        <v>1009</v>
      </c>
      <c r="C7" s="15" t="n">
        <v>1</v>
      </c>
      <c r="D7" s="4" t="n">
        <v>5</v>
      </c>
      <c r="E7" s="4" t="n">
        <v>7</v>
      </c>
      <c r="F7" s="7" t="s">
        <v>1010</v>
      </c>
      <c r="G7" s="6" t="s">
        <v>1002</v>
      </c>
      <c r="H7" s="7" t="s">
        <v>1011</v>
      </c>
    </row>
    <row r="8" customFormat="false" ht="23.85" hidden="false" customHeight="false" outlineLevel="0" collapsed="false">
      <c r="A8" s="10" t="s">
        <v>1012</v>
      </c>
      <c r="B8" s="10" t="s">
        <v>1013</v>
      </c>
      <c r="C8" s="16" t="n">
        <v>3</v>
      </c>
      <c r="D8" s="8" t="n">
        <v>8</v>
      </c>
      <c r="E8" s="8" t="n">
        <v>9</v>
      </c>
      <c r="F8" s="11" t="s">
        <v>1014</v>
      </c>
      <c r="G8" s="10" t="s">
        <v>1015</v>
      </c>
      <c r="H8" s="11" t="s">
        <v>1016</v>
      </c>
    </row>
    <row r="9" customFormat="false" ht="15" hidden="false" customHeight="false" outlineLevel="0" collapsed="false">
      <c r="A9" s="6" t="s">
        <v>1017</v>
      </c>
      <c r="B9" s="6" t="s">
        <v>37</v>
      </c>
      <c r="C9" s="15" t="n">
        <v>4</v>
      </c>
      <c r="D9" s="4" t="s">
        <v>15</v>
      </c>
      <c r="E9" s="4" t="n">
        <v>10</v>
      </c>
      <c r="F9" s="7" t="s">
        <v>1018</v>
      </c>
      <c r="G9" s="6" t="s">
        <v>1002</v>
      </c>
      <c r="H9" s="7" t="s">
        <v>1019</v>
      </c>
    </row>
    <row r="10" customFormat="false" ht="23.85" hidden="false" customHeight="false" outlineLevel="0" collapsed="false">
      <c r="A10" s="10" t="s">
        <v>1020</v>
      </c>
      <c r="B10" s="10" t="s">
        <v>1021</v>
      </c>
      <c r="C10" s="16" t="n">
        <v>1</v>
      </c>
      <c r="D10" s="8" t="n">
        <v>11</v>
      </c>
      <c r="E10" s="8" t="n">
        <v>12</v>
      </c>
      <c r="F10" s="11" t="s">
        <v>1022</v>
      </c>
      <c r="G10" s="10" t="s">
        <v>1002</v>
      </c>
      <c r="H10" s="11" t="s">
        <v>1023</v>
      </c>
    </row>
    <row r="11" customFormat="false" ht="15" hidden="false" customHeight="false" outlineLevel="0" collapsed="false">
      <c r="A11" s="6" t="s">
        <v>1024</v>
      </c>
      <c r="B11" s="6" t="s">
        <v>1025</v>
      </c>
      <c r="C11" s="15" t="n">
        <v>1</v>
      </c>
      <c r="D11" s="4" t="n">
        <v>13</v>
      </c>
      <c r="E11" s="4" t="n">
        <v>14</v>
      </c>
      <c r="F11" s="7" t="s">
        <v>1026</v>
      </c>
      <c r="G11" s="6" t="s">
        <v>1002</v>
      </c>
      <c r="H11" s="7" t="s">
        <v>1027</v>
      </c>
    </row>
    <row r="12" customFormat="false" ht="23.85" hidden="false" customHeight="false" outlineLevel="0" collapsed="false">
      <c r="A12" s="10" t="s">
        <v>1028</v>
      </c>
      <c r="B12" s="10" t="s">
        <v>1029</v>
      </c>
      <c r="C12" s="16" t="n">
        <v>1</v>
      </c>
      <c r="D12" s="8" t="n">
        <v>15</v>
      </c>
      <c r="E12" s="8" t="n">
        <v>16</v>
      </c>
      <c r="F12" s="11" t="s">
        <v>1030</v>
      </c>
      <c r="G12" s="10" t="s">
        <v>1002</v>
      </c>
      <c r="H12" s="11" t="s">
        <v>1031</v>
      </c>
    </row>
    <row r="13" customFormat="false" ht="23.85" hidden="false" customHeight="false" outlineLevel="0" collapsed="false">
      <c r="A13" s="6" t="s">
        <v>1032</v>
      </c>
      <c r="B13" s="6" t="s">
        <v>1033</v>
      </c>
      <c r="C13" s="15" t="n">
        <v>3</v>
      </c>
      <c r="D13" s="4" t="n">
        <v>16</v>
      </c>
      <c r="E13" s="4" t="n">
        <v>17</v>
      </c>
      <c r="F13" s="7" t="s">
        <v>1034</v>
      </c>
      <c r="G13" s="6" t="s">
        <v>1015</v>
      </c>
      <c r="H13" s="7" t="s">
        <v>1035</v>
      </c>
    </row>
    <row r="14" customFormat="false" ht="15" hidden="false" customHeight="false" outlineLevel="0" collapsed="false">
      <c r="A14" s="10" t="s">
        <v>1036</v>
      </c>
      <c r="B14" s="10" t="s">
        <v>59</v>
      </c>
      <c r="C14" s="16" t="n">
        <v>4</v>
      </c>
      <c r="D14" s="8" t="s">
        <v>15</v>
      </c>
      <c r="E14" s="8" t="n">
        <v>18</v>
      </c>
      <c r="F14" s="11" t="s">
        <v>1037</v>
      </c>
      <c r="G14" s="10" t="s">
        <v>1002</v>
      </c>
      <c r="H14" s="11" t="s">
        <v>1019</v>
      </c>
    </row>
    <row r="15" customFormat="false" ht="15" hidden="false" customHeight="false" outlineLevel="0" collapsed="false">
      <c r="A15" s="6" t="s">
        <v>1038</v>
      </c>
      <c r="B15" s="6" t="s">
        <v>66</v>
      </c>
      <c r="C15" s="15" t="n">
        <v>4</v>
      </c>
      <c r="D15" s="4" t="s">
        <v>15</v>
      </c>
      <c r="E15" s="4" t="n">
        <v>20</v>
      </c>
      <c r="F15" s="7" t="s">
        <v>1039</v>
      </c>
      <c r="G15" s="6" t="s">
        <v>1002</v>
      </c>
      <c r="H15" s="7" t="s">
        <v>1019</v>
      </c>
    </row>
    <row r="16" customFormat="false" ht="15" hidden="false" customHeight="false" outlineLevel="0" collapsed="false">
      <c r="B16" s="13" t="s">
        <v>1040</v>
      </c>
      <c r="C16" s="17" t="n">
        <f aca="false">C5+C6+C7+C8+C9</f>
        <v>10</v>
      </c>
    </row>
    <row r="17" customFormat="false" ht="15" hidden="false" customHeight="false" outlineLevel="0" collapsed="false">
      <c r="B17" s="13" t="s">
        <v>1041</v>
      </c>
      <c r="C17" s="17" t="n">
        <f aca="false">C10+C11+C12+C13+C14</f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9"/>
    <col collapsed="false" customWidth="true" hidden="false" outlineLevel="0" max="7" min="7" style="0" width="8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5" min="14" style="0" width="11"/>
    <col collapsed="false" customWidth="true" hidden="false" outlineLevel="0" max="16" min="16" style="0" width="14"/>
  </cols>
  <sheetData>
    <row r="1" customFormat="false" ht="24" hidden="false" customHeight="true" outlineLevel="0" collapsed="false">
      <c r="A1" s="1" t="s">
        <v>1042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1043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" t="s">
        <v>1044</v>
      </c>
      <c r="B4" s="3" t="s">
        <v>1045</v>
      </c>
      <c r="C4" s="3" t="s">
        <v>1046</v>
      </c>
      <c r="D4" s="3" t="s">
        <v>1047</v>
      </c>
      <c r="E4" s="3" t="s">
        <v>1048</v>
      </c>
      <c r="F4" s="3" t="s">
        <v>1049</v>
      </c>
      <c r="G4" s="3" t="s">
        <v>11</v>
      </c>
      <c r="H4" s="3" t="s">
        <v>1050</v>
      </c>
      <c r="I4" s="3" t="s">
        <v>1051</v>
      </c>
      <c r="J4" s="3" t="s">
        <v>1052</v>
      </c>
      <c r="K4" s="3" t="s">
        <v>1053</v>
      </c>
      <c r="L4" s="3" t="s">
        <v>1054</v>
      </c>
      <c r="M4" s="3" t="s">
        <v>40</v>
      </c>
      <c r="N4" s="3" t="s">
        <v>1055</v>
      </c>
      <c r="O4" s="3" t="s">
        <v>1056</v>
      </c>
      <c r="P4" s="3" t="s">
        <v>1057</v>
      </c>
    </row>
    <row r="5" customFormat="false" ht="15" hidden="false" customHeight="false" outlineLevel="0" collapsed="false">
      <c r="A5" s="6" t="s">
        <v>1058</v>
      </c>
      <c r="B5" s="18" t="n">
        <v>0.9</v>
      </c>
      <c r="C5" s="18" t="n">
        <v>1</v>
      </c>
      <c r="D5" s="18" t="n">
        <v>0.8</v>
      </c>
      <c r="E5" s="18" t="n">
        <v>2.7</v>
      </c>
      <c r="F5" s="18" t="n">
        <v>3.2</v>
      </c>
      <c r="G5" s="19" t="n">
        <f aca="false">IF($A5="","",B5+C5+D5+E5+MAX(F5,IF(F5&lt;=L5,N5,0)))</f>
        <v>8.6</v>
      </c>
      <c r="H5" s="18" t="n">
        <v>1</v>
      </c>
      <c r="I5" s="18" t="n">
        <v>0.7</v>
      </c>
      <c r="J5" s="18" t="n">
        <v>0.9</v>
      </c>
      <c r="K5" s="18" t="n">
        <v>2.8</v>
      </c>
      <c r="L5" s="18" t="n">
        <v>2.4</v>
      </c>
      <c r="M5" s="19" t="n">
        <f aca="false">IF($A5="","",H5+I5+J5+K5+MAX(L5,IF(L5&lt;F5,N5,0)))</f>
        <v>9</v>
      </c>
      <c r="N5" s="18" t="n">
        <v>3.6</v>
      </c>
      <c r="O5" s="19" t="n">
        <f aca="false">IF($A5="","",(G5+M5)/2)</f>
        <v>8.8</v>
      </c>
      <c r="P5" s="4" t="str">
        <f aca="false">IF($A5="","",IF(O5&gt;=7,"Aprovado","Reprovado"))</f>
        <v>Aprovado</v>
      </c>
    </row>
    <row r="6" customFormat="false" ht="15" hidden="false" customHeight="false" outlineLevel="0" collapsed="false">
      <c r="A6" s="10"/>
      <c r="B6" s="18"/>
      <c r="C6" s="18"/>
      <c r="D6" s="18"/>
      <c r="E6" s="18"/>
      <c r="F6" s="18"/>
      <c r="G6" s="19" t="str">
        <f aca="false">IF($A6="","",B6+C6+D6+E6+MAX(F6,IF(F6&lt;=L6,N6,0)))</f>
        <v/>
      </c>
      <c r="H6" s="18"/>
      <c r="I6" s="18"/>
      <c r="J6" s="18"/>
      <c r="K6" s="18"/>
      <c r="L6" s="18"/>
      <c r="M6" s="19" t="str">
        <f aca="false">IF($A6="","",H6+I6+J6+K6+MAX(L6,IF(L6&lt;F6,N6,0)))</f>
        <v/>
      </c>
      <c r="N6" s="18"/>
      <c r="O6" s="19" t="str">
        <f aca="false">IF($A6="","",(G6+M6)/2)</f>
        <v/>
      </c>
      <c r="P6" s="8" t="str">
        <f aca="false">IF($A6="","",IF(O6&gt;=7,"Aprovado","Reprovado"))</f>
        <v/>
      </c>
    </row>
    <row r="7" customFormat="false" ht="15" hidden="false" customHeight="false" outlineLevel="0" collapsed="false">
      <c r="A7" s="6"/>
      <c r="B7" s="18"/>
      <c r="C7" s="18"/>
      <c r="D7" s="18"/>
      <c r="E7" s="18"/>
      <c r="F7" s="18"/>
      <c r="G7" s="19" t="str">
        <f aca="false">IF($A7="","",B7+C7+D7+E7+MAX(F7,IF(F7&lt;=L7,N7,0)))</f>
        <v/>
      </c>
      <c r="H7" s="18"/>
      <c r="I7" s="18"/>
      <c r="J7" s="18"/>
      <c r="K7" s="18"/>
      <c r="L7" s="18"/>
      <c r="M7" s="19" t="str">
        <f aca="false">IF($A7="","",H7+I7+J7+K7+MAX(L7,IF(L7&lt;F7,N7,0)))</f>
        <v/>
      </c>
      <c r="N7" s="18"/>
      <c r="O7" s="19" t="str">
        <f aca="false">IF($A7="","",(G7+M7)/2)</f>
        <v/>
      </c>
      <c r="P7" s="4" t="str">
        <f aca="false">IF($A7="","",IF(O7&gt;=7,"Aprovado","Reprovado"))</f>
        <v/>
      </c>
    </row>
    <row r="8" customFormat="false" ht="15" hidden="false" customHeight="false" outlineLevel="0" collapsed="false">
      <c r="A8" s="10"/>
      <c r="B8" s="18"/>
      <c r="C8" s="18"/>
      <c r="D8" s="18"/>
      <c r="E8" s="18"/>
      <c r="F8" s="18"/>
      <c r="G8" s="19" t="str">
        <f aca="false">IF($A8="","",B8+C8+D8+E8+MAX(F8,IF(F8&lt;=L8,N8,0)))</f>
        <v/>
      </c>
      <c r="H8" s="18"/>
      <c r="I8" s="18"/>
      <c r="J8" s="18"/>
      <c r="K8" s="18"/>
      <c r="L8" s="18"/>
      <c r="M8" s="19" t="str">
        <f aca="false">IF($A8="","",H8+I8+J8+K8+MAX(L8,IF(L8&lt;F8,N8,0)))</f>
        <v/>
      </c>
      <c r="N8" s="18"/>
      <c r="O8" s="19" t="str">
        <f aca="false">IF($A8="","",(G8+M8)/2)</f>
        <v/>
      </c>
      <c r="P8" s="8" t="str">
        <f aca="false">IF($A8="","",IF(O8&gt;=7,"Aprovado","Reprovado"))</f>
        <v/>
      </c>
    </row>
    <row r="9" customFormat="false" ht="15" hidden="false" customHeight="false" outlineLevel="0" collapsed="false">
      <c r="A9" s="6"/>
      <c r="B9" s="18"/>
      <c r="C9" s="18"/>
      <c r="D9" s="18"/>
      <c r="E9" s="18"/>
      <c r="F9" s="18"/>
      <c r="G9" s="19" t="str">
        <f aca="false">IF($A9="","",B9+C9+D9+E9+MAX(F9,IF(F9&lt;=L9,N9,0)))</f>
        <v/>
      </c>
      <c r="H9" s="18"/>
      <c r="I9" s="18"/>
      <c r="J9" s="18"/>
      <c r="K9" s="18"/>
      <c r="L9" s="18"/>
      <c r="M9" s="19" t="str">
        <f aca="false">IF($A9="","",H9+I9+J9+K9+MAX(L9,IF(L9&lt;F9,N9,0)))</f>
        <v/>
      </c>
      <c r="N9" s="18"/>
      <c r="O9" s="19" t="str">
        <f aca="false">IF($A9="","",(G9+M9)/2)</f>
        <v/>
      </c>
      <c r="P9" s="4" t="str">
        <f aca="false">IF($A9="","",IF(O9&gt;=7,"Aprovado","Reprovado"))</f>
        <v/>
      </c>
    </row>
    <row r="10" customFormat="false" ht="15" hidden="false" customHeight="false" outlineLevel="0" collapsed="false">
      <c r="A10" s="10"/>
      <c r="B10" s="18"/>
      <c r="C10" s="18"/>
      <c r="D10" s="18"/>
      <c r="E10" s="18"/>
      <c r="F10" s="18"/>
      <c r="G10" s="19" t="str">
        <f aca="false">IF($A10="","",B10+C10+D10+E10+MAX(F10,IF(F10&lt;=L10,N10,0)))</f>
        <v/>
      </c>
      <c r="H10" s="18"/>
      <c r="I10" s="18"/>
      <c r="J10" s="18"/>
      <c r="K10" s="18"/>
      <c r="L10" s="18"/>
      <c r="M10" s="19" t="str">
        <f aca="false">IF($A10="","",H10+I10+J10+K10+MAX(L10,IF(L10&lt;F10,N10,0)))</f>
        <v/>
      </c>
      <c r="N10" s="18"/>
      <c r="O10" s="19" t="str">
        <f aca="false">IF($A10="","",(G10+M10)/2)</f>
        <v/>
      </c>
      <c r="P10" s="8" t="str">
        <f aca="false">IF($A10="","",IF(O10&gt;=7,"Aprovado","Reprovado"))</f>
        <v/>
      </c>
    </row>
    <row r="11" customFormat="false" ht="15" hidden="false" customHeight="false" outlineLevel="0" collapsed="false">
      <c r="A11" s="6"/>
      <c r="B11" s="18"/>
      <c r="C11" s="18"/>
      <c r="D11" s="18"/>
      <c r="E11" s="18"/>
      <c r="F11" s="18"/>
      <c r="G11" s="19" t="str">
        <f aca="false">IF($A11="","",B11+C11+D11+E11+MAX(F11,IF(F11&lt;=L11,N11,0)))</f>
        <v/>
      </c>
      <c r="H11" s="18"/>
      <c r="I11" s="18"/>
      <c r="J11" s="18"/>
      <c r="K11" s="18"/>
      <c r="L11" s="18"/>
      <c r="M11" s="19" t="str">
        <f aca="false">IF($A11="","",H11+I11+J11+K11+MAX(L11,IF(L11&lt;F11,N11,0)))</f>
        <v/>
      </c>
      <c r="N11" s="18"/>
      <c r="O11" s="19" t="str">
        <f aca="false">IF($A11="","",(G11+M11)/2)</f>
        <v/>
      </c>
      <c r="P11" s="4" t="str">
        <f aca="false">IF($A11="","",IF(O11&gt;=7,"Aprovado","Reprovado"))</f>
        <v/>
      </c>
    </row>
    <row r="12" customFormat="false" ht="15" hidden="false" customHeight="false" outlineLevel="0" collapsed="false">
      <c r="A12" s="10"/>
      <c r="B12" s="18"/>
      <c r="C12" s="18"/>
      <c r="D12" s="18"/>
      <c r="E12" s="18"/>
      <c r="F12" s="18"/>
      <c r="G12" s="19" t="str">
        <f aca="false">IF($A12="","",B12+C12+D12+E12+MAX(F12,IF(F12&lt;=L12,N12,0)))</f>
        <v/>
      </c>
      <c r="H12" s="18"/>
      <c r="I12" s="18"/>
      <c r="J12" s="18"/>
      <c r="K12" s="18"/>
      <c r="L12" s="18"/>
      <c r="M12" s="19" t="str">
        <f aca="false">IF($A12="","",H12+I12+J12+K12+MAX(L12,IF(L12&lt;F12,N12,0)))</f>
        <v/>
      </c>
      <c r="N12" s="18"/>
      <c r="O12" s="19" t="str">
        <f aca="false">IF($A12="","",(G12+M12)/2)</f>
        <v/>
      </c>
      <c r="P12" s="8" t="str">
        <f aca="false">IF($A12="","",IF(O12&gt;=7,"Aprovado","Reprovado"))</f>
        <v/>
      </c>
    </row>
    <row r="13" customFormat="false" ht="15" hidden="false" customHeight="false" outlineLevel="0" collapsed="false">
      <c r="A13" s="6"/>
      <c r="B13" s="18"/>
      <c r="C13" s="18"/>
      <c r="D13" s="18"/>
      <c r="E13" s="18"/>
      <c r="F13" s="18"/>
      <c r="G13" s="19" t="str">
        <f aca="false">IF($A13="","",B13+C13+D13+E13+MAX(F13,IF(F13&lt;=L13,N13,0)))</f>
        <v/>
      </c>
      <c r="H13" s="18"/>
      <c r="I13" s="18"/>
      <c r="J13" s="18"/>
      <c r="K13" s="18"/>
      <c r="L13" s="18"/>
      <c r="M13" s="19" t="str">
        <f aca="false">IF($A13="","",H13+I13+J13+K13+MAX(L13,IF(L13&lt;F13,N13,0)))</f>
        <v/>
      </c>
      <c r="N13" s="18"/>
      <c r="O13" s="19" t="str">
        <f aca="false">IF($A13="","",(G13+M13)/2)</f>
        <v/>
      </c>
      <c r="P13" s="4" t="str">
        <f aca="false">IF($A13="","",IF(O13&gt;=7,"Aprovado","Reprovado"))</f>
        <v/>
      </c>
    </row>
    <row r="14" customFormat="false" ht="15" hidden="false" customHeight="false" outlineLevel="0" collapsed="false">
      <c r="A14" s="10"/>
      <c r="B14" s="18"/>
      <c r="C14" s="18"/>
      <c r="D14" s="18"/>
      <c r="E14" s="18"/>
      <c r="F14" s="18"/>
      <c r="G14" s="19" t="str">
        <f aca="false">IF($A14="","",B14+C14+D14+E14+MAX(F14,IF(F14&lt;=L14,N14,0)))</f>
        <v/>
      </c>
      <c r="H14" s="18"/>
      <c r="I14" s="18"/>
      <c r="J14" s="18"/>
      <c r="K14" s="18"/>
      <c r="L14" s="18"/>
      <c r="M14" s="19" t="str">
        <f aca="false">IF($A14="","",H14+I14+J14+K14+MAX(L14,IF(L14&lt;F14,N14,0)))</f>
        <v/>
      </c>
      <c r="N14" s="18"/>
      <c r="O14" s="19" t="str">
        <f aca="false">IF($A14="","",(G14+M14)/2)</f>
        <v/>
      </c>
      <c r="P14" s="8" t="str">
        <f aca="false">IF($A14="","",IF(O14&gt;=7,"Aprovado","Reprovado"))</f>
        <v/>
      </c>
    </row>
    <row r="15" customFormat="false" ht="15" hidden="false" customHeight="false" outlineLevel="0" collapsed="false">
      <c r="A15" s="6"/>
      <c r="B15" s="18"/>
      <c r="C15" s="18"/>
      <c r="D15" s="18"/>
      <c r="E15" s="18"/>
      <c r="F15" s="18"/>
      <c r="G15" s="19" t="str">
        <f aca="false">IF($A15="","",B15+C15+D15+E15+MAX(F15,IF(F15&lt;=L15,N15,0)))</f>
        <v/>
      </c>
      <c r="H15" s="18"/>
      <c r="I15" s="18"/>
      <c r="J15" s="18"/>
      <c r="K15" s="18"/>
      <c r="L15" s="18"/>
      <c r="M15" s="19" t="str">
        <f aca="false">IF($A15="","",H15+I15+J15+K15+MAX(L15,IF(L15&lt;F15,N15,0)))</f>
        <v/>
      </c>
      <c r="N15" s="18"/>
      <c r="O15" s="19" t="str">
        <f aca="false">IF($A15="","",(G15+M15)/2)</f>
        <v/>
      </c>
      <c r="P15" s="4" t="str">
        <f aca="false">IF($A15="","",IF(O15&gt;=7,"Aprovado","Reprovado"))</f>
        <v/>
      </c>
    </row>
    <row r="16" customFormat="false" ht="15" hidden="false" customHeight="false" outlineLevel="0" collapsed="false">
      <c r="A16" s="10"/>
      <c r="B16" s="18"/>
      <c r="C16" s="18"/>
      <c r="D16" s="18"/>
      <c r="E16" s="18"/>
      <c r="F16" s="18"/>
      <c r="G16" s="19" t="str">
        <f aca="false">IF($A16="","",B16+C16+D16+E16+MAX(F16,IF(F16&lt;=L16,N16,0)))</f>
        <v/>
      </c>
      <c r="H16" s="18"/>
      <c r="I16" s="18"/>
      <c r="J16" s="18"/>
      <c r="K16" s="18"/>
      <c r="L16" s="18"/>
      <c r="M16" s="19" t="str">
        <f aca="false">IF($A16="","",H16+I16+J16+K16+MAX(L16,IF(L16&lt;F16,N16,0)))</f>
        <v/>
      </c>
      <c r="N16" s="18"/>
      <c r="O16" s="19" t="str">
        <f aca="false">IF($A16="","",(G16+M16)/2)</f>
        <v/>
      </c>
      <c r="P16" s="8" t="str">
        <f aca="false">IF($A16="","",IF(O16&gt;=7,"Aprovado","Reprovado"))</f>
        <v/>
      </c>
    </row>
    <row r="17" customFormat="false" ht="15" hidden="false" customHeight="false" outlineLevel="0" collapsed="false">
      <c r="A17" s="6"/>
      <c r="B17" s="18"/>
      <c r="C17" s="18"/>
      <c r="D17" s="18"/>
      <c r="E17" s="18"/>
      <c r="F17" s="18"/>
      <c r="G17" s="19" t="str">
        <f aca="false">IF($A17="","",B17+C17+D17+E17+MAX(F17,IF(F17&lt;=L17,N17,0)))</f>
        <v/>
      </c>
      <c r="H17" s="18"/>
      <c r="I17" s="18"/>
      <c r="J17" s="18"/>
      <c r="K17" s="18"/>
      <c r="L17" s="18"/>
      <c r="M17" s="19" t="str">
        <f aca="false">IF($A17="","",H17+I17+J17+K17+MAX(L17,IF(L17&lt;F17,N17,0)))</f>
        <v/>
      </c>
      <c r="N17" s="18"/>
      <c r="O17" s="19" t="str">
        <f aca="false">IF($A17="","",(G17+M17)/2)</f>
        <v/>
      </c>
      <c r="P17" s="4" t="str">
        <f aca="false">IF($A17="","",IF(O17&gt;=7,"Aprovado","Reprovado"))</f>
        <v/>
      </c>
    </row>
    <row r="18" customFormat="false" ht="15" hidden="false" customHeight="false" outlineLevel="0" collapsed="false">
      <c r="A18" s="10"/>
      <c r="B18" s="18"/>
      <c r="C18" s="18"/>
      <c r="D18" s="18"/>
      <c r="E18" s="18"/>
      <c r="F18" s="18"/>
      <c r="G18" s="19" t="str">
        <f aca="false">IF($A18="","",B18+C18+D18+E18+MAX(F18,IF(F18&lt;=L18,N18,0)))</f>
        <v/>
      </c>
      <c r="H18" s="18"/>
      <c r="I18" s="18"/>
      <c r="J18" s="18"/>
      <c r="K18" s="18"/>
      <c r="L18" s="18"/>
      <c r="M18" s="19" t="str">
        <f aca="false">IF($A18="","",H18+I18+J18+K18+MAX(L18,IF(L18&lt;F18,N18,0)))</f>
        <v/>
      </c>
      <c r="N18" s="18"/>
      <c r="O18" s="19" t="str">
        <f aca="false">IF($A18="","",(G18+M18)/2)</f>
        <v/>
      </c>
      <c r="P18" s="8" t="str">
        <f aca="false">IF($A18="","",IF(O18&gt;=7,"Aprovado","Reprovado"))</f>
        <v/>
      </c>
    </row>
    <row r="19" customFormat="false" ht="15" hidden="false" customHeight="false" outlineLevel="0" collapsed="false">
      <c r="A19" s="6"/>
      <c r="B19" s="18"/>
      <c r="C19" s="18"/>
      <c r="D19" s="18"/>
      <c r="E19" s="18"/>
      <c r="F19" s="18"/>
      <c r="G19" s="19" t="str">
        <f aca="false">IF($A19="","",B19+C19+D19+E19+MAX(F19,IF(F19&lt;=L19,N19,0)))</f>
        <v/>
      </c>
      <c r="H19" s="18"/>
      <c r="I19" s="18"/>
      <c r="J19" s="18"/>
      <c r="K19" s="18"/>
      <c r="L19" s="18"/>
      <c r="M19" s="19" t="str">
        <f aca="false">IF($A19="","",H19+I19+J19+K19+MAX(L19,IF(L19&lt;F19,N19,0)))</f>
        <v/>
      </c>
      <c r="N19" s="18"/>
      <c r="O19" s="19" t="str">
        <f aca="false">IF($A19="","",(G19+M19)/2)</f>
        <v/>
      </c>
      <c r="P19" s="4" t="str">
        <f aca="false">IF($A19="","",IF(O19&gt;=7,"Aprovado","Reprovado"))</f>
        <v/>
      </c>
    </row>
    <row r="20" customFormat="false" ht="15" hidden="false" customHeight="false" outlineLevel="0" collapsed="false">
      <c r="A20" s="10"/>
      <c r="B20" s="18"/>
      <c r="C20" s="18"/>
      <c r="D20" s="18"/>
      <c r="E20" s="18"/>
      <c r="F20" s="18"/>
      <c r="G20" s="19" t="str">
        <f aca="false">IF($A20="","",B20+C20+D20+E20+MAX(F20,IF(F20&lt;=L20,N20,0)))</f>
        <v/>
      </c>
      <c r="H20" s="18"/>
      <c r="I20" s="18"/>
      <c r="J20" s="18"/>
      <c r="K20" s="18"/>
      <c r="L20" s="18"/>
      <c r="M20" s="19" t="str">
        <f aca="false">IF($A20="","",H20+I20+J20+K20+MAX(L20,IF(L20&lt;F20,N20,0)))</f>
        <v/>
      </c>
      <c r="N20" s="18"/>
      <c r="O20" s="19" t="str">
        <f aca="false">IF($A20="","",(G20+M20)/2)</f>
        <v/>
      </c>
      <c r="P20" s="8" t="str">
        <f aca="false">IF($A20="","",IF(O20&gt;=7,"Aprovado","Reprovado"))</f>
        <v/>
      </c>
    </row>
    <row r="21" customFormat="false" ht="15" hidden="false" customHeight="false" outlineLevel="0" collapsed="false">
      <c r="A21" s="6"/>
      <c r="B21" s="18"/>
      <c r="C21" s="18"/>
      <c r="D21" s="18"/>
      <c r="E21" s="18"/>
      <c r="F21" s="18"/>
      <c r="G21" s="19" t="str">
        <f aca="false">IF($A21="","",B21+C21+D21+E21+MAX(F21,IF(F21&lt;=L21,N21,0)))</f>
        <v/>
      </c>
      <c r="H21" s="18"/>
      <c r="I21" s="18"/>
      <c r="J21" s="18"/>
      <c r="K21" s="18"/>
      <c r="L21" s="18"/>
      <c r="M21" s="19" t="str">
        <f aca="false">IF($A21="","",H21+I21+J21+K21+MAX(L21,IF(L21&lt;F21,N21,0)))</f>
        <v/>
      </c>
      <c r="N21" s="18"/>
      <c r="O21" s="19" t="str">
        <f aca="false">IF($A21="","",(G21+M21)/2)</f>
        <v/>
      </c>
      <c r="P21" s="4" t="str">
        <f aca="false">IF($A21="","",IF(O21&gt;=7,"Aprovado","Reprovado"))</f>
        <v/>
      </c>
    </row>
    <row r="22" customFormat="false" ht="15" hidden="false" customHeight="false" outlineLevel="0" collapsed="false">
      <c r="A22" s="10"/>
      <c r="B22" s="18"/>
      <c r="C22" s="18"/>
      <c r="D22" s="18"/>
      <c r="E22" s="18"/>
      <c r="F22" s="18"/>
      <c r="G22" s="19" t="str">
        <f aca="false">IF($A22="","",B22+C22+D22+E22+MAX(F22,IF(F22&lt;=L22,N22,0)))</f>
        <v/>
      </c>
      <c r="H22" s="18"/>
      <c r="I22" s="18"/>
      <c r="J22" s="18"/>
      <c r="K22" s="18"/>
      <c r="L22" s="18"/>
      <c r="M22" s="19" t="str">
        <f aca="false">IF($A22="","",H22+I22+J22+K22+MAX(L22,IF(L22&lt;F22,N22,0)))</f>
        <v/>
      </c>
      <c r="N22" s="18"/>
      <c r="O22" s="19" t="str">
        <f aca="false">IF($A22="","",(G22+M22)/2)</f>
        <v/>
      </c>
      <c r="P22" s="8" t="str">
        <f aca="false">IF($A22="","",IF(O22&gt;=7,"Aprovado","Reprovado"))</f>
        <v/>
      </c>
    </row>
    <row r="23" customFormat="false" ht="15" hidden="false" customHeight="false" outlineLevel="0" collapsed="false">
      <c r="A23" s="6"/>
      <c r="B23" s="18"/>
      <c r="C23" s="18"/>
      <c r="D23" s="18"/>
      <c r="E23" s="18"/>
      <c r="F23" s="18"/>
      <c r="G23" s="19" t="str">
        <f aca="false">IF($A23="","",B23+C23+D23+E23+MAX(F23,IF(F23&lt;=L23,N23,0)))</f>
        <v/>
      </c>
      <c r="H23" s="18"/>
      <c r="I23" s="18"/>
      <c r="J23" s="18"/>
      <c r="K23" s="18"/>
      <c r="L23" s="18"/>
      <c r="M23" s="19" t="str">
        <f aca="false">IF($A23="","",H23+I23+J23+K23+MAX(L23,IF(L23&lt;F23,N23,0)))</f>
        <v/>
      </c>
      <c r="N23" s="18"/>
      <c r="O23" s="19" t="str">
        <f aca="false">IF($A23="","",(G23+M23)/2)</f>
        <v/>
      </c>
      <c r="P23" s="4" t="str">
        <f aca="false">IF($A23="","",IF(O23&gt;=7,"Aprovado","Reprovado"))</f>
        <v/>
      </c>
    </row>
    <row r="24" customFormat="false" ht="15" hidden="false" customHeight="false" outlineLevel="0" collapsed="false">
      <c r="A24" s="10"/>
      <c r="B24" s="18"/>
      <c r="C24" s="18"/>
      <c r="D24" s="18"/>
      <c r="E24" s="18"/>
      <c r="F24" s="18"/>
      <c r="G24" s="19" t="str">
        <f aca="false">IF($A24="","",B24+C24+D24+E24+MAX(F24,IF(F24&lt;=L24,N24,0)))</f>
        <v/>
      </c>
      <c r="H24" s="18"/>
      <c r="I24" s="18"/>
      <c r="J24" s="18"/>
      <c r="K24" s="18"/>
      <c r="L24" s="18"/>
      <c r="M24" s="19" t="str">
        <f aca="false">IF($A24="","",H24+I24+J24+K24+MAX(L24,IF(L24&lt;F24,N24,0)))</f>
        <v/>
      </c>
      <c r="N24" s="18"/>
      <c r="O24" s="19" t="str">
        <f aca="false">IF($A24="","",(G24+M24)/2)</f>
        <v/>
      </c>
      <c r="P24" s="8" t="str">
        <f aca="false">IF($A24="","",IF(O24&gt;=7,"Aprovado","Reprovado"))</f>
        <v/>
      </c>
    </row>
    <row r="25" customFormat="false" ht="15" hidden="false" customHeight="false" outlineLevel="0" collapsed="false">
      <c r="A25" s="6"/>
      <c r="B25" s="18"/>
      <c r="C25" s="18"/>
      <c r="D25" s="18"/>
      <c r="E25" s="18"/>
      <c r="F25" s="18"/>
      <c r="G25" s="19" t="str">
        <f aca="false">IF($A25="","",B25+C25+D25+E25+MAX(F25,IF(F25&lt;=L25,N25,0)))</f>
        <v/>
      </c>
      <c r="H25" s="18"/>
      <c r="I25" s="18"/>
      <c r="J25" s="18"/>
      <c r="K25" s="18"/>
      <c r="L25" s="18"/>
      <c r="M25" s="19" t="str">
        <f aca="false">IF($A25="","",H25+I25+J25+K25+MAX(L25,IF(L25&lt;F25,N25,0)))</f>
        <v/>
      </c>
      <c r="N25" s="18"/>
      <c r="O25" s="19" t="str">
        <f aca="false">IF($A25="","",(G25+M25)/2)</f>
        <v/>
      </c>
      <c r="P25" s="4" t="str">
        <f aca="false">IF($A25="","",IF(O25&gt;=7,"Aprovado","Reprovado"))</f>
        <v/>
      </c>
    </row>
    <row r="26" customFormat="false" ht="15" hidden="false" customHeight="false" outlineLevel="0" collapsed="false">
      <c r="A26" s="10"/>
      <c r="B26" s="18"/>
      <c r="C26" s="18"/>
      <c r="D26" s="18"/>
      <c r="E26" s="18"/>
      <c r="F26" s="18"/>
      <c r="G26" s="19" t="str">
        <f aca="false">IF($A26="","",B26+C26+D26+E26+MAX(F26,IF(F26&lt;=L26,N26,0)))</f>
        <v/>
      </c>
      <c r="H26" s="18"/>
      <c r="I26" s="18"/>
      <c r="J26" s="18"/>
      <c r="K26" s="18"/>
      <c r="L26" s="18"/>
      <c r="M26" s="19" t="str">
        <f aca="false">IF($A26="","",H26+I26+J26+K26+MAX(L26,IF(L26&lt;F26,N26,0)))</f>
        <v/>
      </c>
      <c r="N26" s="18"/>
      <c r="O26" s="19" t="str">
        <f aca="false">IF($A26="","",(G26+M26)/2)</f>
        <v/>
      </c>
      <c r="P26" s="8" t="str">
        <f aca="false">IF($A26="","",IF(O26&gt;=7,"Aprovado","Reprovado"))</f>
        <v/>
      </c>
    </row>
    <row r="27" customFormat="false" ht="15" hidden="false" customHeight="false" outlineLevel="0" collapsed="false">
      <c r="A27" s="6"/>
      <c r="B27" s="18"/>
      <c r="C27" s="18"/>
      <c r="D27" s="18"/>
      <c r="E27" s="18"/>
      <c r="F27" s="18"/>
      <c r="G27" s="19" t="str">
        <f aca="false">IF($A27="","",B27+C27+D27+E27+MAX(F27,IF(F27&lt;=L27,N27,0)))</f>
        <v/>
      </c>
      <c r="H27" s="18"/>
      <c r="I27" s="18"/>
      <c r="J27" s="18"/>
      <c r="K27" s="18"/>
      <c r="L27" s="18"/>
      <c r="M27" s="19" t="str">
        <f aca="false">IF($A27="","",H27+I27+J27+K27+MAX(L27,IF(L27&lt;F27,N27,0)))</f>
        <v/>
      </c>
      <c r="N27" s="18"/>
      <c r="O27" s="19" t="str">
        <f aca="false">IF($A27="","",(G27+M27)/2)</f>
        <v/>
      </c>
      <c r="P27" s="4" t="str">
        <f aca="false">IF($A27="","",IF(O27&gt;=7,"Aprovado","Reprovado"))</f>
        <v/>
      </c>
    </row>
    <row r="28" customFormat="false" ht="15" hidden="false" customHeight="false" outlineLevel="0" collapsed="false">
      <c r="A28" s="10"/>
      <c r="B28" s="18"/>
      <c r="C28" s="18"/>
      <c r="D28" s="18"/>
      <c r="E28" s="18"/>
      <c r="F28" s="18"/>
      <c r="G28" s="19" t="str">
        <f aca="false">IF($A28="","",B28+C28+D28+E28+MAX(F28,IF(F28&lt;=L28,N28,0)))</f>
        <v/>
      </c>
      <c r="H28" s="18"/>
      <c r="I28" s="18"/>
      <c r="J28" s="18"/>
      <c r="K28" s="18"/>
      <c r="L28" s="18"/>
      <c r="M28" s="19" t="str">
        <f aca="false">IF($A28="","",H28+I28+J28+K28+MAX(L28,IF(L28&lt;F28,N28,0)))</f>
        <v/>
      </c>
      <c r="N28" s="18"/>
      <c r="O28" s="19" t="str">
        <f aca="false">IF($A28="","",(G28+M28)/2)</f>
        <v/>
      </c>
      <c r="P28" s="8" t="str">
        <f aca="false">IF($A28="","",IF(O28&gt;=7,"Aprovado","Reprovado"))</f>
        <v/>
      </c>
    </row>
    <row r="29" customFormat="false" ht="15" hidden="false" customHeight="false" outlineLevel="0" collapsed="false">
      <c r="A29" s="6"/>
      <c r="B29" s="18"/>
      <c r="C29" s="18"/>
      <c r="D29" s="18"/>
      <c r="E29" s="18"/>
      <c r="F29" s="18"/>
      <c r="G29" s="19" t="str">
        <f aca="false">IF($A29="","",B29+C29+D29+E29+MAX(F29,IF(F29&lt;=L29,N29,0)))</f>
        <v/>
      </c>
      <c r="H29" s="18"/>
      <c r="I29" s="18"/>
      <c r="J29" s="18"/>
      <c r="K29" s="18"/>
      <c r="L29" s="18"/>
      <c r="M29" s="19" t="str">
        <f aca="false">IF($A29="","",H29+I29+J29+K29+MAX(L29,IF(L29&lt;F29,N29,0)))</f>
        <v/>
      </c>
      <c r="N29" s="18"/>
      <c r="O29" s="19" t="str">
        <f aca="false">IF($A29="","",(G29+M29)/2)</f>
        <v/>
      </c>
      <c r="P29" s="4" t="str">
        <f aca="false">IF($A29="","",IF(O29&gt;=7,"Aprovado","Reprovado"))</f>
        <v/>
      </c>
    </row>
    <row r="30" customFormat="false" ht="15" hidden="false" customHeight="false" outlineLevel="0" collapsed="false">
      <c r="A30" s="10"/>
      <c r="B30" s="18"/>
      <c r="C30" s="18"/>
      <c r="D30" s="18"/>
      <c r="E30" s="18"/>
      <c r="F30" s="18"/>
      <c r="G30" s="19" t="str">
        <f aca="false">IF($A30="","",B30+C30+D30+E30+MAX(F30,IF(F30&lt;=L30,N30,0)))</f>
        <v/>
      </c>
      <c r="H30" s="18"/>
      <c r="I30" s="18"/>
      <c r="J30" s="18"/>
      <c r="K30" s="18"/>
      <c r="L30" s="18"/>
      <c r="M30" s="19" t="str">
        <f aca="false">IF($A30="","",H30+I30+J30+K30+MAX(L30,IF(L30&lt;F30,N30,0)))</f>
        <v/>
      </c>
      <c r="N30" s="18"/>
      <c r="O30" s="19" t="str">
        <f aca="false">IF($A30="","",(G30+M30)/2)</f>
        <v/>
      </c>
      <c r="P30" s="8" t="str">
        <f aca="false">IF($A30="","",IF(O30&gt;=7,"Aprovado","Reprovado"))</f>
        <v/>
      </c>
    </row>
    <row r="31" customFormat="false" ht="15" hidden="false" customHeight="false" outlineLevel="0" collapsed="false">
      <c r="A31" s="6"/>
      <c r="B31" s="18"/>
      <c r="C31" s="18"/>
      <c r="D31" s="18"/>
      <c r="E31" s="18"/>
      <c r="F31" s="18"/>
      <c r="G31" s="19" t="str">
        <f aca="false">IF($A31="","",B31+C31+D31+E31+MAX(F31,IF(F31&lt;=L31,N31,0)))</f>
        <v/>
      </c>
      <c r="H31" s="18"/>
      <c r="I31" s="18"/>
      <c r="J31" s="18"/>
      <c r="K31" s="18"/>
      <c r="L31" s="18"/>
      <c r="M31" s="19" t="str">
        <f aca="false">IF($A31="","",H31+I31+J31+K31+MAX(L31,IF(L31&lt;F31,N31,0)))</f>
        <v/>
      </c>
      <c r="N31" s="18"/>
      <c r="O31" s="19" t="str">
        <f aca="false">IF($A31="","",(G31+M31)/2)</f>
        <v/>
      </c>
      <c r="P31" s="4" t="str">
        <f aca="false">IF($A31="","",IF(O31&gt;=7,"Aprovado","Reprovado"))</f>
        <v/>
      </c>
    </row>
    <row r="32" customFormat="false" ht="15" hidden="false" customHeight="false" outlineLevel="0" collapsed="false">
      <c r="A32" s="10"/>
      <c r="B32" s="18"/>
      <c r="C32" s="18"/>
      <c r="D32" s="18"/>
      <c r="E32" s="18"/>
      <c r="F32" s="18"/>
      <c r="G32" s="19" t="str">
        <f aca="false">IF($A32="","",B32+C32+D32+E32+MAX(F32,IF(F32&lt;=L32,N32,0)))</f>
        <v/>
      </c>
      <c r="H32" s="18"/>
      <c r="I32" s="18"/>
      <c r="J32" s="18"/>
      <c r="K32" s="18"/>
      <c r="L32" s="18"/>
      <c r="M32" s="19" t="str">
        <f aca="false">IF($A32="","",H32+I32+J32+K32+MAX(L32,IF(L32&lt;F32,N32,0)))</f>
        <v/>
      </c>
      <c r="N32" s="18"/>
      <c r="O32" s="19" t="str">
        <f aca="false">IF($A32="","",(G32+M32)/2)</f>
        <v/>
      </c>
      <c r="P32" s="8" t="str">
        <f aca="false">IF($A32="","",IF(O32&gt;=7,"Aprovado","Reprovado"))</f>
        <v/>
      </c>
    </row>
    <row r="33" customFormat="false" ht="15" hidden="false" customHeight="false" outlineLevel="0" collapsed="false">
      <c r="A33" s="6"/>
      <c r="B33" s="18"/>
      <c r="C33" s="18"/>
      <c r="D33" s="18"/>
      <c r="E33" s="18"/>
      <c r="F33" s="18"/>
      <c r="G33" s="19" t="str">
        <f aca="false">IF($A33="","",B33+C33+D33+E33+MAX(F33,IF(F33&lt;=L33,N33,0)))</f>
        <v/>
      </c>
      <c r="H33" s="18"/>
      <c r="I33" s="18"/>
      <c r="J33" s="18"/>
      <c r="K33" s="18"/>
      <c r="L33" s="18"/>
      <c r="M33" s="19" t="str">
        <f aca="false">IF($A33="","",H33+I33+J33+K33+MAX(L33,IF(L33&lt;F33,N33,0)))</f>
        <v/>
      </c>
      <c r="N33" s="18"/>
      <c r="O33" s="19" t="str">
        <f aca="false">IF($A33="","",(G33+M33)/2)</f>
        <v/>
      </c>
      <c r="P33" s="4" t="str">
        <f aca="false">IF($A33="","",IF(O33&gt;=7,"Aprovado","Reprovado"))</f>
        <v/>
      </c>
    </row>
    <row r="34" customFormat="false" ht="15" hidden="false" customHeight="false" outlineLevel="0" collapsed="false">
      <c r="A34" s="10"/>
      <c r="B34" s="18"/>
      <c r="C34" s="18"/>
      <c r="D34" s="18"/>
      <c r="E34" s="18"/>
      <c r="F34" s="18"/>
      <c r="G34" s="19" t="str">
        <f aca="false">IF($A34="","",B34+C34+D34+E34+MAX(F34,IF(F34&lt;=L34,N34,0)))</f>
        <v/>
      </c>
      <c r="H34" s="18"/>
      <c r="I34" s="18"/>
      <c r="J34" s="18"/>
      <c r="K34" s="18"/>
      <c r="L34" s="18"/>
      <c r="M34" s="19" t="str">
        <f aca="false">IF($A34="","",H34+I34+J34+K34+MAX(L34,IF(L34&lt;F34,N34,0)))</f>
        <v/>
      </c>
      <c r="N34" s="18"/>
      <c r="O34" s="19" t="str">
        <f aca="false">IF($A34="","",(G34+M34)/2)</f>
        <v/>
      </c>
      <c r="P34" s="8" t="str">
        <f aca="false">IF($A34="","",IF(O34&gt;=7,"Aprovado","Reprovado"))</f>
        <v/>
      </c>
    </row>
    <row r="35" customFormat="false" ht="15" hidden="false" customHeight="false" outlineLevel="0" collapsed="false">
      <c r="A35" s="6"/>
      <c r="B35" s="18"/>
      <c r="C35" s="18"/>
      <c r="D35" s="18"/>
      <c r="E35" s="18"/>
      <c r="F35" s="18"/>
      <c r="G35" s="19" t="str">
        <f aca="false">IF($A35="","",B35+C35+D35+E35+MAX(F35,IF(F35&lt;=L35,N35,0)))</f>
        <v/>
      </c>
      <c r="H35" s="18"/>
      <c r="I35" s="18"/>
      <c r="J35" s="18"/>
      <c r="K35" s="18"/>
      <c r="L35" s="18"/>
      <c r="M35" s="19" t="str">
        <f aca="false">IF($A35="","",H35+I35+J35+K35+MAX(L35,IF(L35&lt;F35,N35,0)))</f>
        <v/>
      </c>
      <c r="N35" s="18"/>
      <c r="O35" s="19" t="str">
        <f aca="false">IF($A35="","",(G35+M35)/2)</f>
        <v/>
      </c>
      <c r="P35" s="4" t="str">
        <f aca="false">IF($A35="","",IF(O35&gt;=7,"Aprovado","Reprovado"))</f>
        <v/>
      </c>
    </row>
    <row r="37" customFormat="false" ht="15" hidden="false" customHeight="false" outlineLevel="0" collapsed="false">
      <c r="A37" s="14" t="s">
        <v>1059</v>
      </c>
    </row>
    <row r="38" customFormat="false" ht="15" hidden="false" customHeight="false" outlineLevel="0" collapsed="false">
      <c r="A38" s="14" t="s">
        <v>1060</v>
      </c>
    </row>
    <row r="39" customFormat="false" ht="15" hidden="false" customHeight="false" outlineLevel="0" collapsed="false">
      <c r="A39" s="14" t="s">
        <v>1061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6" min="4" style="0" width="2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4" hidden="false" customHeight="true" outlineLevel="0" collapsed="false">
      <c r="A1" s="1" t="s">
        <v>1062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1063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6</v>
      </c>
      <c r="C4" s="3" t="s">
        <v>1064</v>
      </c>
      <c r="D4" s="3" t="s">
        <v>1065</v>
      </c>
      <c r="E4" s="3" t="s">
        <v>1066</v>
      </c>
      <c r="F4" s="3" t="s">
        <v>1067</v>
      </c>
      <c r="G4" s="3" t="s">
        <v>1068</v>
      </c>
      <c r="H4" s="3" t="s">
        <v>1069</v>
      </c>
      <c r="I4" s="3" t="s">
        <v>1070</v>
      </c>
    </row>
    <row r="5" customFormat="false" ht="23.85" hidden="false" customHeight="false" outlineLevel="0" collapsed="false">
      <c r="A5" s="4" t="n">
        <v>1</v>
      </c>
      <c r="B5" s="7" t="s">
        <v>13</v>
      </c>
      <c r="C5" s="6" t="s">
        <v>1071</v>
      </c>
      <c r="D5" s="6" t="s">
        <v>794</v>
      </c>
      <c r="E5" s="6" t="s">
        <v>801</v>
      </c>
      <c r="F5" s="6" t="s">
        <v>807</v>
      </c>
      <c r="G5" s="6" t="s">
        <v>15</v>
      </c>
      <c r="H5" s="20" t="s">
        <v>1072</v>
      </c>
      <c r="I5" s="7"/>
    </row>
    <row r="6" customFormat="false" ht="23.85" hidden="false" customHeight="false" outlineLevel="0" collapsed="false">
      <c r="A6" s="8" t="n">
        <v>2</v>
      </c>
      <c r="B6" s="11" t="s">
        <v>16</v>
      </c>
      <c r="C6" s="10" t="s">
        <v>1073</v>
      </c>
      <c r="D6" s="10" t="s">
        <v>813</v>
      </c>
      <c r="E6" s="10" t="s">
        <v>817</v>
      </c>
      <c r="F6" s="10" t="s">
        <v>822</v>
      </c>
      <c r="G6" s="10" t="s">
        <v>15</v>
      </c>
      <c r="H6" s="20" t="s">
        <v>1074</v>
      </c>
      <c r="I6" s="11"/>
    </row>
    <row r="7" customFormat="false" ht="23.85" hidden="false" customHeight="false" outlineLevel="0" collapsed="false">
      <c r="A7" s="4" t="n">
        <v>3</v>
      </c>
      <c r="B7" s="7" t="s">
        <v>18</v>
      </c>
      <c r="C7" s="6" t="s">
        <v>1075</v>
      </c>
      <c r="D7" s="6" t="s">
        <v>827</v>
      </c>
      <c r="E7" s="6" t="s">
        <v>832</v>
      </c>
      <c r="F7" s="6" t="s">
        <v>837</v>
      </c>
      <c r="G7" s="6" t="s">
        <v>20</v>
      </c>
      <c r="H7" s="20" t="s">
        <v>1074</v>
      </c>
      <c r="I7" s="7"/>
    </row>
    <row r="8" customFormat="false" ht="23.85" hidden="false" customHeight="false" outlineLevel="0" collapsed="false">
      <c r="A8" s="8" t="n">
        <v>4</v>
      </c>
      <c r="B8" s="11" t="s">
        <v>21</v>
      </c>
      <c r="C8" s="10" t="s">
        <v>1076</v>
      </c>
      <c r="D8" s="10" t="s">
        <v>842</v>
      </c>
      <c r="E8" s="10" t="s">
        <v>847</v>
      </c>
      <c r="F8" s="10" t="s">
        <v>852</v>
      </c>
      <c r="G8" s="10" t="s">
        <v>15</v>
      </c>
      <c r="H8" s="20" t="s">
        <v>1074</v>
      </c>
      <c r="I8" s="11"/>
    </row>
    <row r="9" customFormat="false" ht="23.85" hidden="false" customHeight="false" outlineLevel="0" collapsed="false">
      <c r="A9" s="4" t="n">
        <v>5</v>
      </c>
      <c r="B9" s="7" t="s">
        <v>23</v>
      </c>
      <c r="C9" s="6" t="s">
        <v>1077</v>
      </c>
      <c r="D9" s="6" t="s">
        <v>857</v>
      </c>
      <c r="E9" s="6" t="s">
        <v>862</v>
      </c>
      <c r="F9" s="6" t="s">
        <v>866</v>
      </c>
      <c r="G9" s="6" t="s">
        <v>25</v>
      </c>
      <c r="H9" s="20" t="s">
        <v>1074</v>
      </c>
      <c r="I9" s="7"/>
    </row>
    <row r="10" customFormat="false" ht="23.85" hidden="false" customHeight="false" outlineLevel="0" collapsed="false">
      <c r="A10" s="8" t="n">
        <v>6</v>
      </c>
      <c r="B10" s="11" t="s">
        <v>26</v>
      </c>
      <c r="C10" s="10" t="s">
        <v>1078</v>
      </c>
      <c r="D10" s="10" t="s">
        <v>871</v>
      </c>
      <c r="E10" s="10" t="s">
        <v>875</v>
      </c>
      <c r="F10" s="10" t="s">
        <v>879</v>
      </c>
      <c r="G10" s="10" t="s">
        <v>15</v>
      </c>
      <c r="H10" s="20" t="s">
        <v>1074</v>
      </c>
      <c r="I10" s="11"/>
    </row>
    <row r="11" customFormat="false" ht="23.85" hidden="false" customHeight="false" outlineLevel="0" collapsed="false">
      <c r="A11" s="4" t="n">
        <v>7</v>
      </c>
      <c r="B11" s="7" t="s">
        <v>28</v>
      </c>
      <c r="C11" s="6" t="s">
        <v>1079</v>
      </c>
      <c r="D11" s="6" t="s">
        <v>884</v>
      </c>
      <c r="E11" s="6" t="s">
        <v>888</v>
      </c>
      <c r="F11" s="6" t="s">
        <v>893</v>
      </c>
      <c r="G11" s="6" t="s">
        <v>30</v>
      </c>
      <c r="H11" s="20" t="s">
        <v>1074</v>
      </c>
      <c r="I11" s="7"/>
    </row>
    <row r="12" customFormat="false" ht="23.85" hidden="false" customHeight="false" outlineLevel="0" collapsed="false">
      <c r="A12" s="8" t="n">
        <v>8</v>
      </c>
      <c r="B12" s="11" t="s">
        <v>31</v>
      </c>
      <c r="C12" s="10" t="s">
        <v>1080</v>
      </c>
      <c r="D12" s="10" t="s">
        <v>897</v>
      </c>
      <c r="E12" s="10" t="s">
        <v>902</v>
      </c>
      <c r="F12" s="10" t="s">
        <v>907</v>
      </c>
      <c r="G12" s="10" t="s">
        <v>15</v>
      </c>
      <c r="H12" s="20" t="s">
        <v>1074</v>
      </c>
      <c r="I12" s="11"/>
    </row>
    <row r="13" customFormat="false" ht="23.85" hidden="false" customHeight="false" outlineLevel="0" collapsed="false">
      <c r="A13" s="4" t="n">
        <v>9</v>
      </c>
      <c r="B13" s="7" t="s">
        <v>34</v>
      </c>
      <c r="C13" s="6" t="s">
        <v>1081</v>
      </c>
      <c r="D13" s="6" t="s">
        <v>15</v>
      </c>
      <c r="E13" s="6" t="s">
        <v>15</v>
      </c>
      <c r="F13" s="6" t="s">
        <v>15</v>
      </c>
      <c r="G13" s="6" t="s">
        <v>36</v>
      </c>
      <c r="H13" s="20" t="s">
        <v>1074</v>
      </c>
      <c r="I13" s="7"/>
    </row>
    <row r="14" customFormat="false" ht="15" hidden="false" customHeight="false" outlineLevel="0" collapsed="false">
      <c r="A14" s="8" t="n">
        <v>10</v>
      </c>
      <c r="B14" s="11" t="s">
        <v>37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39</v>
      </c>
      <c r="H14" s="20" t="s">
        <v>1074</v>
      </c>
      <c r="I14" s="11"/>
    </row>
    <row r="15" customFormat="false" ht="15" hidden="false" customHeight="false" outlineLevel="0" collapsed="false">
      <c r="A15" s="4" t="n">
        <v>11</v>
      </c>
      <c r="B15" s="7" t="s">
        <v>41</v>
      </c>
      <c r="C15" s="6" t="s">
        <v>1082</v>
      </c>
      <c r="D15" s="6" t="s">
        <v>911</v>
      </c>
      <c r="E15" s="6" t="s">
        <v>916</v>
      </c>
      <c r="F15" s="6" t="s">
        <v>921</v>
      </c>
      <c r="G15" s="6" t="s">
        <v>15</v>
      </c>
      <c r="H15" s="20" t="s">
        <v>1074</v>
      </c>
      <c r="I15" s="7"/>
    </row>
    <row r="16" customFormat="false" ht="23.85" hidden="false" customHeight="false" outlineLevel="0" collapsed="false">
      <c r="A16" s="8" t="n">
        <v>12</v>
      </c>
      <c r="B16" s="11" t="s">
        <v>43</v>
      </c>
      <c r="C16" s="10" t="s">
        <v>1083</v>
      </c>
      <c r="D16" s="10" t="s">
        <v>925</v>
      </c>
      <c r="E16" s="10" t="s">
        <v>929</v>
      </c>
      <c r="F16" s="10" t="s">
        <v>933</v>
      </c>
      <c r="G16" s="10" t="s">
        <v>45</v>
      </c>
      <c r="H16" s="20" t="s">
        <v>1074</v>
      </c>
      <c r="I16" s="11"/>
    </row>
    <row r="17" customFormat="false" ht="23.85" hidden="false" customHeight="false" outlineLevel="0" collapsed="false">
      <c r="A17" s="4" t="n">
        <v>13</v>
      </c>
      <c r="B17" s="7" t="s">
        <v>46</v>
      </c>
      <c r="C17" s="6" t="s">
        <v>1084</v>
      </c>
      <c r="D17" s="6" t="s">
        <v>937</v>
      </c>
      <c r="E17" s="6" t="s">
        <v>942</v>
      </c>
      <c r="F17" s="6" t="s">
        <v>946</v>
      </c>
      <c r="G17" s="6" t="s">
        <v>15</v>
      </c>
      <c r="H17" s="20" t="s">
        <v>1074</v>
      </c>
      <c r="I17" s="7"/>
    </row>
    <row r="18" customFormat="false" ht="23.85" hidden="false" customHeight="false" outlineLevel="0" collapsed="false">
      <c r="A18" s="8" t="n">
        <v>14</v>
      </c>
      <c r="B18" s="11" t="s">
        <v>48</v>
      </c>
      <c r="C18" s="10" t="s">
        <v>1085</v>
      </c>
      <c r="D18" s="10" t="s">
        <v>951</v>
      </c>
      <c r="E18" s="10" t="s">
        <v>956</v>
      </c>
      <c r="F18" s="10" t="s">
        <v>961</v>
      </c>
      <c r="G18" s="10" t="s">
        <v>50</v>
      </c>
      <c r="H18" s="20" t="s">
        <v>1074</v>
      </c>
      <c r="I18" s="11"/>
    </row>
    <row r="19" customFormat="false" ht="23.85" hidden="false" customHeight="false" outlineLevel="0" collapsed="false">
      <c r="A19" s="4" t="n">
        <v>15</v>
      </c>
      <c r="B19" s="7" t="s">
        <v>51</v>
      </c>
      <c r="C19" s="6" t="s">
        <v>1086</v>
      </c>
      <c r="D19" s="6" t="s">
        <v>966</v>
      </c>
      <c r="E19" s="6" t="s">
        <v>970</v>
      </c>
      <c r="F19" s="6" t="s">
        <v>974</v>
      </c>
      <c r="G19" s="6" t="s">
        <v>15</v>
      </c>
      <c r="H19" s="20" t="s">
        <v>1074</v>
      </c>
      <c r="I19" s="7"/>
    </row>
    <row r="20" customFormat="false" ht="23.85" hidden="false" customHeight="false" outlineLevel="0" collapsed="false">
      <c r="A20" s="8" t="n">
        <v>16</v>
      </c>
      <c r="B20" s="11" t="s">
        <v>53</v>
      </c>
      <c r="C20" s="10" t="s">
        <v>1087</v>
      </c>
      <c r="D20" s="10" t="s">
        <v>979</v>
      </c>
      <c r="E20" s="10" t="s">
        <v>984</v>
      </c>
      <c r="F20" s="10" t="s">
        <v>989</v>
      </c>
      <c r="G20" s="10" t="s">
        <v>55</v>
      </c>
      <c r="H20" s="20" t="s">
        <v>1074</v>
      </c>
      <c r="I20" s="11"/>
    </row>
    <row r="21" customFormat="false" ht="23.85" hidden="false" customHeight="false" outlineLevel="0" collapsed="false">
      <c r="A21" s="4" t="n">
        <v>17</v>
      </c>
      <c r="B21" s="7" t="s">
        <v>56</v>
      </c>
      <c r="C21" s="6" t="s">
        <v>1088</v>
      </c>
      <c r="D21" s="6" t="s">
        <v>15</v>
      </c>
      <c r="E21" s="6" t="s">
        <v>15</v>
      </c>
      <c r="F21" s="6" t="s">
        <v>15</v>
      </c>
      <c r="G21" s="6" t="s">
        <v>58</v>
      </c>
      <c r="H21" s="20" t="s">
        <v>1074</v>
      </c>
      <c r="I21" s="7"/>
    </row>
    <row r="22" customFormat="false" ht="15" hidden="false" customHeight="false" outlineLevel="0" collapsed="false">
      <c r="A22" s="8" t="n">
        <v>18</v>
      </c>
      <c r="B22" s="11" t="s">
        <v>59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61</v>
      </c>
      <c r="H22" s="20" t="s">
        <v>1074</v>
      </c>
      <c r="I22" s="11"/>
    </row>
    <row r="23" customFormat="false" ht="15" hidden="false" customHeight="false" outlineLevel="0" collapsed="false">
      <c r="A23" s="4" t="n">
        <v>19</v>
      </c>
      <c r="B23" s="7" t="s">
        <v>64</v>
      </c>
      <c r="C23" s="6" t="s">
        <v>1089</v>
      </c>
      <c r="D23" s="6" t="s">
        <v>15</v>
      </c>
      <c r="E23" s="6" t="s">
        <v>15</v>
      </c>
      <c r="F23" s="6" t="s">
        <v>15</v>
      </c>
      <c r="G23" s="6" t="s">
        <v>15</v>
      </c>
      <c r="H23" s="20" t="s">
        <v>1074</v>
      </c>
      <c r="I23" s="7"/>
    </row>
    <row r="24" customFormat="false" ht="15" hidden="false" customHeight="false" outlineLevel="0" collapsed="false">
      <c r="A24" s="8" t="n">
        <v>20</v>
      </c>
      <c r="B24" s="11" t="s">
        <v>66</v>
      </c>
      <c r="C24" s="10" t="s">
        <v>15</v>
      </c>
      <c r="D24" s="10" t="s">
        <v>15</v>
      </c>
      <c r="E24" s="10" t="s">
        <v>15</v>
      </c>
      <c r="F24" s="10" t="s">
        <v>15</v>
      </c>
      <c r="G24" s="10" t="s">
        <v>68</v>
      </c>
      <c r="H24" s="20" t="s">
        <v>1074</v>
      </c>
      <c r="I24" s="1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56"/>
    <col collapsed="false" customWidth="true" hidden="false" outlineLevel="0" max="4" min="4" style="0" width="44"/>
    <col collapsed="false" customWidth="true" hidden="false" outlineLevel="0" max="5" min="5" style="0" width="24"/>
  </cols>
  <sheetData>
    <row r="1" customFormat="false" ht="24" hidden="false" customHeight="true" outlineLevel="0" collapsed="false">
      <c r="A1" s="1" t="s">
        <v>1090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1091</v>
      </c>
      <c r="B2" s="2"/>
      <c r="C2" s="2"/>
      <c r="D2" s="2"/>
      <c r="E2" s="2"/>
    </row>
    <row r="4" customFormat="false" ht="30" hidden="false" customHeight="true" outlineLevel="0" collapsed="false">
      <c r="A4" s="3" t="s">
        <v>1092</v>
      </c>
      <c r="B4" s="3" t="s">
        <v>1093</v>
      </c>
      <c r="C4" s="3" t="s">
        <v>1094</v>
      </c>
      <c r="D4" s="3" t="s">
        <v>1095</v>
      </c>
      <c r="E4" s="3" t="s">
        <v>1096</v>
      </c>
    </row>
    <row r="5" customFormat="false" ht="15" hidden="false" customHeight="false" outlineLevel="0" collapsed="false">
      <c r="A5" s="6" t="s">
        <v>1097</v>
      </c>
      <c r="B5" s="6" t="s">
        <v>1098</v>
      </c>
      <c r="C5" s="7" t="s">
        <v>1099</v>
      </c>
      <c r="D5" s="7" t="s">
        <v>1100</v>
      </c>
      <c r="E5" s="6" t="s">
        <v>1101</v>
      </c>
    </row>
    <row r="6" customFormat="false" ht="15" hidden="false" customHeight="false" outlineLevel="0" collapsed="false">
      <c r="A6" s="10" t="s">
        <v>1097</v>
      </c>
      <c r="B6" s="10" t="s">
        <v>1102</v>
      </c>
      <c r="C6" s="11" t="s">
        <v>1103</v>
      </c>
      <c r="D6" s="11" t="s">
        <v>1104</v>
      </c>
      <c r="E6" s="10" t="s">
        <v>1105</v>
      </c>
    </row>
    <row r="7" customFormat="false" ht="15" hidden="false" customHeight="false" outlineLevel="0" collapsed="false">
      <c r="A7" s="6" t="s">
        <v>1097</v>
      </c>
      <c r="B7" s="6" t="s">
        <v>1106</v>
      </c>
      <c r="C7" s="7" t="s">
        <v>1107</v>
      </c>
      <c r="D7" s="7" t="s">
        <v>1108</v>
      </c>
      <c r="E7" s="6" t="s">
        <v>1109</v>
      </c>
    </row>
    <row r="8" customFormat="false" ht="23.85" hidden="false" customHeight="false" outlineLevel="0" collapsed="false">
      <c r="A8" s="10" t="s">
        <v>1110</v>
      </c>
      <c r="B8" s="10" t="s">
        <v>1111</v>
      </c>
      <c r="C8" s="11" t="s">
        <v>1112</v>
      </c>
      <c r="D8" s="11" t="s">
        <v>1113</v>
      </c>
      <c r="E8" s="10" t="s">
        <v>1114</v>
      </c>
    </row>
    <row r="9" customFormat="false" ht="15" hidden="false" customHeight="false" outlineLevel="0" collapsed="false">
      <c r="A9" s="6" t="s">
        <v>1110</v>
      </c>
      <c r="B9" s="6" t="s">
        <v>1115</v>
      </c>
      <c r="C9" s="7" t="s">
        <v>1116</v>
      </c>
      <c r="D9" s="7" t="s">
        <v>1117</v>
      </c>
      <c r="E9" s="6" t="s">
        <v>1118</v>
      </c>
    </row>
    <row r="10" customFormat="false" ht="15" hidden="false" customHeight="false" outlineLevel="0" collapsed="false">
      <c r="A10" s="10" t="s">
        <v>1110</v>
      </c>
      <c r="B10" s="10" t="s">
        <v>1119</v>
      </c>
      <c r="C10" s="11" t="s">
        <v>1120</v>
      </c>
      <c r="D10" s="11" t="s">
        <v>1121</v>
      </c>
      <c r="E10" s="10" t="s">
        <v>1122</v>
      </c>
    </row>
    <row r="11" customFormat="false" ht="15" hidden="false" customHeight="false" outlineLevel="0" collapsed="false">
      <c r="A11" s="6" t="s">
        <v>1110</v>
      </c>
      <c r="B11" s="6" t="s">
        <v>1123</v>
      </c>
      <c r="C11" s="7" t="s">
        <v>1124</v>
      </c>
      <c r="D11" s="7" t="s">
        <v>1125</v>
      </c>
      <c r="E11" s="6" t="s">
        <v>1126</v>
      </c>
    </row>
    <row r="12" customFormat="false" ht="15" hidden="false" customHeight="false" outlineLevel="0" collapsed="false">
      <c r="A12" s="10" t="s">
        <v>1110</v>
      </c>
      <c r="B12" s="10" t="s">
        <v>1127</v>
      </c>
      <c r="C12" s="11" t="s">
        <v>1128</v>
      </c>
      <c r="D12" s="11" t="s">
        <v>1129</v>
      </c>
      <c r="E12" s="10" t="s">
        <v>1130</v>
      </c>
    </row>
    <row r="13" customFormat="false" ht="15" hidden="false" customHeight="false" outlineLevel="0" collapsed="false">
      <c r="A13" s="6" t="s">
        <v>1110</v>
      </c>
      <c r="B13" s="6" t="s">
        <v>1131</v>
      </c>
      <c r="C13" s="7" t="s">
        <v>1132</v>
      </c>
      <c r="D13" s="7" t="s">
        <v>1133</v>
      </c>
      <c r="E13" s="6" t="s">
        <v>1134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2026-07-31T04:21:25Z</dcterms:created>
  <dc:creator>openpyxl</dc:creator>
  <dc:description/>
  <dc:language>en-US</dc:language>
  <cp:lastModifiedBy/>
  <dcterms:modified xsi:type="dcterms:W3CDTF">2026-07-31T04:21:26Z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